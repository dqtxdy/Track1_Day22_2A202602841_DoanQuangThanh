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README" sheetId="1" state="visible" r:id="rId3"/>
    <sheet name="1_Cost_Job" sheetId="2" state="visible" r:id="rId4"/>
    <sheet name="2_Pricing" sheetId="3" state="visible" r:id="rId5"/>
    <sheet name="3_Value_Metric" sheetId="4" state="visible" r:id="rId6"/>
    <sheet name="4_Channel_Fit" sheetId="5" state="visible" r:id="rId7"/>
    <sheet name="5_90Day_Plan" sheetId="6" state="visible" r:id="rId8"/>
    <sheet name="6_Benchmar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======
ID#AAACIQEOV6c
Unknown Author    (2026-10-08 02:20:56)
Ví dụ mẫu đang điền sẵn — thay bằng sản phẩm của bạn.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4</xdr:row>
                <xdr:rowOff>2</xdr:rowOff>
              </xdr:from>
              <xdr:to>
                <xdr:col>3</xdr:col>
                <xdr:colOff>15</xdr:colOff>
                <xdr:row>8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<sst xmlns="http://schemas.openxmlformats.org/spreadsheetml/2006/main" count="645" uniqueCount="565">
  <si>
    <t xml:space="preserve">DAY 22 — MONETIZATION MODEL</t>
  </si>
  <si>
    <t xml:space="preserve">AI Pricing · GTM · Evidence — AI-IN-ACTION Track 1</t>
  </si>
  <si>
    <t xml:space="preserve">QUY ƯỚC MÀU — CHỈ ĐIỀN VÀO Ô MÀU VÀNG</t>
  </si>
  <si>
    <t xml:space="preserve">Ô VÀNG, chữ xanh dương</t>
  </si>
  <si>
    <t xml:space="preserve">Ô bạn phải điền</t>
  </si>
  <si>
    <t xml:space="preserve">Ô XÁM, chữ đen</t>
  </si>
  <si>
    <t xml:space="preserve">Công thức tự tính — KHÔNG SỬA</t>
  </si>
  <si>
    <t xml:space="preserve">Chữ xanh lá</t>
  </si>
  <si>
    <t xml:space="preserve">Link sang tab khác</t>
  </si>
  <si>
    <t xml:space="preserve">Ô XÁM đậm nhạt</t>
  </si>
  <si>
    <t xml:space="preserve">Bảng tham chiếu, chỉ đọc</t>
  </si>
  <si>
    <t xml:space="preserve">THỨ TỰ LÀM — 6 TRẠM, 120 PHÚT</t>
  </si>
  <si>
    <t xml:space="preserve">Trạm 1 · 15'</t>
  </si>
  <si>
    <t xml:space="preserve">Ngân sách khách &amp; định nghĩa Job → điền S1–S2 của tab 1_Cost_Job</t>
  </si>
  <si>
    <t xml:space="preserve">Trạm 2 · 20'</t>
  </si>
  <si>
    <t xml:space="preserve">Value Metric → tab 3_Value_Metric</t>
  </si>
  <si>
    <t xml:space="preserve">Trạm 3 · 30'</t>
  </si>
  <si>
    <t xml:space="preserve">Cost/Job, giá sàn &amp; giá trần → tab 1_Cost_Job (S3–S8) rồi 2_Pricing</t>
  </si>
  <si>
    <t xml:space="preserve">Trạm 4 · 20'</t>
  </si>
  <si>
    <t xml:space="preserve">Kênh phân phối &amp; Affordability Test → tab 4_Channel_Fit</t>
  </si>
  <si>
    <t xml:space="preserve">Trạm 5 · 15'</t>
  </si>
  <si>
    <t xml:space="preserve">Pain Moment &amp; 90-Day Plan → tab 5_90Day_Plan</t>
  </si>
  <si>
    <t xml:space="preserve">Trạm 6 · 20'</t>
  </si>
  <si>
    <t xml:space="preserve">Evidence Pack &amp; ráp One-Pager → tab 5_90Day_Plan + file .docx</t>
  </si>
  <si>
    <t xml:space="preserve">3 QUY TẮC KHÔNG ĐƯỢC PHÁ</t>
  </si>
  <si>
    <t xml:space="preserve">1. Chia cho số job HOÀN THÀNH, không phải số job đã thử.</t>
  </si>
  <si>
    <t xml:space="preserve">2. HITL và Retry không được để 0 nếu không có lý do viết ra được.</t>
  </si>
  <si>
    <t xml:space="preserve">3. Mọi con số giá API phải có NGÀY kiểm tra (xem tab 6_Benchmarks).</t>
  </si>
  <si>
    <t xml:space="preserve">Giá tham chiếu trong workbook này được chốt ngày 26/08/2026. Nhiều mức giá là KHUYẾN MẠI CÓ HẠN.</t>
  </si>
  <si>
    <t xml:space="preserve">Bạn PHẢI tự mở lại trang giá của nhà cung cấp và cập nhật — đây là một phần của bài tập.</t>
  </si>
  <si>
    <t xml:space="preserve">TAB 1 — COST/JOB CALCULATOR</t>
  </si>
  <si>
    <t xml:space="preserve">Trạm 1 (S1–S2) và Trạm 3 (S3–S8). Chỉ điền ô vàng.</t>
  </si>
  <si>
    <t xml:space="preserve">S1. ĐỊNH NGHĨA JOB</t>
  </si>
  <si>
    <t xml:space="preserve">1 job của bạn là gì?</t>
  </si>
  <si>
    <t xml:space="preserve">Weekly priority plan: every open task ranked once; preserve source deadlines; show unscheduled items and warnings; save and present.</t>
  </si>
  <si>
    <t xml:space="preserve">JOB DELIVERED = schema/invariants pass, full task coverage, source deadlines preserved, warnings retained, persisted and presented. Unscheduled tasks can still be delivered, but usefulness is unproven.</t>
  </si>
  <si>
    <t xml:space="preserve">Biến thể HITL: A hay B?</t>
  </si>
  <si>
    <t xml:space="preserve">A</t>
  </si>
  <si>
    <t xml:space="preserve">A policy test hypothesis: four monthly generation credits. One max-2-call transient/API retry is inside a credit; a generation still failing after retry consumes that credit. No extra free generation/refund assumed.</t>
  </si>
  <si>
    <t xml:space="preserve">S2. KHỐI LƯỢNG</t>
  </si>
  <si>
    <t xml:space="preserve">Số job THỬ / tháng</t>
  </si>
  <si>
    <t xml:space="preserve">job</t>
  </si>
  <si>
    <t xml:space="preserve">A generation credit/request, not a provider API call. Four-credit cap per paid seat-month (policy hypothesis).</t>
  </si>
  <si>
    <t xml:space="preserve">Containment rate (AI tự làm xong)</t>
  </si>
  <si>
    <t xml:space="preserve">ESTIMATE only; no model or customer success measurement. This R is separate from the 8% provider retry probability.</t>
  </si>
  <si>
    <t xml:space="preserve">→ Số job HOÀN THÀNH / tháng</t>
  </si>
  <si>
    <t xml:space="preserve">MẪU SỐ của Cost/Job</t>
  </si>
  <si>
    <t xml:space="preserve">→ Expected failed AI generations / month</t>
  </si>
  <si>
    <t xml:space="preserve">R failure estimate among generation credits; not vendor escalation. Unscheduled tasks are a quality diagnostic, not the same as failed jobs.</t>
  </si>
  <si>
    <t xml:space="preserve">S3. API — LLM</t>
  </si>
  <si>
    <t xml:space="preserve">Giá input ($ / 1M token)</t>
  </si>
  <si>
    <t xml:space="preserve">PROPOSED Anthropic Claude Haiku 4.5 API design scenario; not called in this run.</t>
  </si>
  <si>
    <t xml:space="preserve">Giá output ($ / 1M token)</t>
  </si>
  <si>
    <t xml:space="preserve">Giá cache WRITE ($ / 1M token)</t>
  </si>
  <si>
    <t xml:space="preserve">Anthropic 5-phút = 1,25× input</t>
  </si>
  <si>
    <t xml:space="preserve">Giá cache READ ($ / 1M token)</t>
  </si>
  <si>
    <t xml:space="preserve">≈ 0,1× input (giảm 90%)</t>
  </si>
  <si>
    <t xml:space="preserve">Số lượt (turns) / job</t>
  </si>
  <si>
    <t xml:space="preserve">lượt</t>
  </si>
  <si>
    <t xml:space="preserve">Token input CACHE ĐƯỢC / lượt</t>
  </si>
  <si>
    <t xml:space="preserve">token</t>
  </si>
  <si>
    <t xml:space="preserve">No caching assumed; all input treated as fresh for conservative low-volume estimate.</t>
  </si>
  <si>
    <t xml:space="preserve">Token input FRESH / lượt</t>
  </si>
  <si>
    <t xml:space="preserve">Câu hỏi khách + dữ liệu động</t>
  </si>
  <si>
    <t xml:space="preserve">Token output / lượt</t>
  </si>
  <si>
    <t xml:space="preserve">→ Cache write / job</t>
  </si>
  <si>
    <t xml:space="preserve">→ Cache read / job</t>
  </si>
  <si>
    <t xml:space="preserve">→ Input fresh / job</t>
  </si>
  <si>
    <t xml:space="preserve">→ Output / job</t>
  </si>
  <si>
    <t xml:space="preserve">→ LLM / job — CÓ prompt caching</t>
  </si>
  <si>
    <t xml:space="preserve">→ LLM / job — KHÔNG cache</t>
  </si>
  <si>
    <t xml:space="preserve">→ % tiết kiệm nhờ caching</t>
  </si>
  <si>
    <t xml:space="preserve">Đòn bẩy rẻ nhất bạn có</t>
  </si>
  <si>
    <t xml:space="preserve">Dùng Batch API? (1 = có, 0 = không)</t>
  </si>
  <si>
    <t xml:space="preserve">Batch giảm 50% — chỉ khi job KHÔNG cần realtime</t>
  </si>
  <si>
    <t xml:space="preserve">→ LLM / job sau Batch</t>
  </si>
  <si>
    <t xml:space="preserve">S4. API — SPEECH (để 0 nếu sản phẩm không có thoại)</t>
  </si>
  <si>
    <t xml:space="preserve">Giá STT ($ / phút)</t>
  </si>
  <si>
    <t xml:space="preserve">Deepgram streaming list $0,0077/phút</t>
  </si>
  <si>
    <t xml:space="preserve">Số phút audio / job</t>
  </si>
  <si>
    <t xml:space="preserve">phút</t>
  </si>
  <si>
    <t xml:space="preserve">Giá TTS ($ / 1M ký tự)</t>
  </si>
  <si>
    <t xml:space="preserve">ElevenLabs Flash $50 · Google Standard $4</t>
  </si>
  <si>
    <t xml:space="preserve">Số ký tự TTS / job</t>
  </si>
  <si>
    <t xml:space="preserve">ký tự</t>
  </si>
  <si>
    <t xml:space="preserve">≈ 900 ký tự cho mỗi phút bot nói</t>
  </si>
  <si>
    <t xml:space="preserve">→ Speech / job</t>
  </si>
  <si>
    <t xml:space="preserve">S5. INFRA</t>
  </si>
  <si>
    <t xml:space="preserve">Infra / job ($)</t>
  </si>
  <si>
    <t xml:space="preserve">ESTIMATE allocation, not invoice: base $0.25/generation. Illustrative monthly split at 100 seats × 4 credits = $100: compute $24, database $16, storage $8, logs/monitoring $12, egress/export $4, shared idle/platform $36. Instrument actual invoice and events before repricing.</t>
  </si>
  <si>
    <t xml:space="preserve">Telephony ($ / phút)</t>
  </si>
  <si>
    <t xml:space="preserve">→ Infra / job</t>
  </si>
  <si>
    <t xml:space="preserve">S6. RETRY</t>
  </si>
  <si>
    <t xml:space="preserve">Tỷ lệ job phải chạy lại</t>
  </si>
  <si>
    <t xml:space="preserve">ESTIMATE 8% transient/API retry probability, max 2 provider calls per generation request. Retry API-token cost only is included in B47; R is separate job success. No retry telemetry.</t>
  </si>
  <si>
    <t xml:space="preserve">→ Retry / job</t>
  </si>
  <si>
    <t xml:space="preserve">Expected provider API calls / month</t>
  </si>
  <si>
    <t xml:space="preserve">calls</t>
  </si>
  <si>
    <t xml:space="preserve">4 generation credits × 1.08 expected calls; retries do not create paid credits. Estimate only.</t>
  </si>
  <si>
    <t xml:space="preserve">S7. HITL — người trong vòng lặp</t>
  </si>
  <si>
    <t xml:space="preserve">Chi phí nhân sự ($ / giờ, fully-loaded)</t>
  </si>
  <si>
    <t xml:space="preserve">ESTIMATE internal QA rate; 5% sample × 2 min × $9/hour. Not a measured user or document read test.</t>
  </si>
  <si>
    <t xml:space="preserve">% hội thoại QA nội bộ</t>
  </si>
  <si>
    <t xml:space="preserve">Luôn có, kể cả Biến thể A</t>
  </si>
  <si>
    <t xml:space="preserve">Số phút QA / ca</t>
  </si>
  <si>
    <t xml:space="preserve">Số phút xử lý 1 ca escalate</t>
  </si>
  <si>
    <t xml:space="preserve">→ QA nội bộ / tháng</t>
  </si>
  <si>
    <t xml:space="preserve">→ Escalation / tháng (chỉ Biến thể B)</t>
  </si>
  <si>
    <t xml:space="preserve">Variant A: no provider-paid escalation. Student chooses whether to follow plan; failed request still consumes credit under this test policy.</t>
  </si>
  <si>
    <t xml:space="preserve">→ Tổng HITL / tháng</t>
  </si>
  <si>
    <t xml:space="preserve">S8. OVERHEAD (tuỳ chọn)</t>
  </si>
  <si>
    <t xml:space="preserve">R&amp;D + Sales phân bổ / tháng ($)</t>
  </si>
  <si>
    <t xml:space="preserve">$0 operating overhead allocated/excluded from direct COGS because no payroll or selling allocation basis. Measure separately before a full profitability claim.</t>
  </si>
  <si>
    <t xml:space="preserve">KẾT QUẢ</t>
  </si>
  <si>
    <t xml:space="preserve">Chi phí biến đổi / tháng (API + Speech + Infra + Retry)</t>
  </si>
  <si>
    <t xml:space="preserve">HITL / tháng</t>
  </si>
  <si>
    <t xml:space="preserve">Overhead / tháng</t>
  </si>
  <si>
    <t xml:space="preserve">TỔNG CHI PHÍ / tháng</t>
  </si>
  <si>
    <t xml:space="preserve">★ COST/JOB (chưa overhead)</t>
  </si>
  <si>
    <t xml:space="preserve">$/job</t>
  </si>
  <si>
    <t xml:space="preserve">Con số chảy sang tab 2_Pricing</t>
  </si>
  <si>
    <t xml:space="preserve">★ COST/JOB (có overhead)</t>
  </si>
  <si>
    <t xml:space="preserve">Tỷ giá (₫ / USD) — giả định</t>
  </si>
  <si>
    <t xml:space="preserve">₫/USD</t>
  </si>
  <si>
    <t xml:space="preserve">ESTIMATE FX for display only; no VND/USD conversion used for core decisions.</t>
  </si>
  <si>
    <t xml:space="preserve">→ Cost/Job quy đổi</t>
  </si>
  <si>
    <t xml:space="preserve">₫/job</t>
  </si>
  <si>
    <t xml:space="preserve">THÀNH PHẦN NÀO ĂN NHIỀU NHẤT? (kiểm tra nhanh)</t>
  </si>
  <si>
    <t xml:space="preserve">LLM</t>
  </si>
  <si>
    <t xml:space="preserve">Speech</t>
  </si>
  <si>
    <t xml:space="preserve">Infra</t>
  </si>
  <si>
    <t xml:space="preserve">Retry</t>
  </si>
  <si>
    <t xml:space="preserve">HITL</t>
  </si>
  <si>
    <t xml:space="preserve">Overhead</t>
  </si>
  <si>
    <t xml:space="preserve">Nếu LLM chiếm &gt;80% thì gần như chắc chắn bạn đang thiếu chi phí ở S5–S7.</t>
  </si>
  <si>
    <t xml:space="preserve">TAB 2 — PRICING &amp; SUBSCRIPTION ECONOMICS</t>
  </si>
  <si>
    <t xml:space="preserve">Giá sàn, tham chiếu giá trần, gross margin và điều kiện rủi ro của thuê bao.</t>
  </si>
  <si>
    <t xml:space="preserve">A. GIÁ SÀN THEO CHI PHÍ TRỰC TIẾP</t>
  </si>
  <si>
    <t xml:space="preserve">Chi phí trực tiếp tháng / thuê bao trả phí (từ 1_Cost_Job)</t>
  </si>
  <si>
    <t xml:space="preserve">$/seat-month</t>
  </si>
  <si>
    <t xml:space="preserve">Direct cost of four generation credits; operating overhead excluded.</t>
  </si>
  <si>
    <t xml:space="preserve">Hệ số giá sàn tối thiểu</t>
  </si>
  <si>
    <t xml:space="preserve">×</t>
  </si>
  <si>
    <t xml:space="preserve">Minimum subscription = 3× monthly direct COGS/seat; overhead excluded.</t>
  </si>
  <si>
    <t xml:space="preserve">Giá sàn thuê bao / sinh viên / tháng</t>
  </si>
  <si>
    <t xml:space="preserve">B. GIÁ TRẦN THAM CHIẾU — CHƯA CÓ DỮ LIỆU KHÁCH HÀNG</t>
  </si>
  <si>
    <t xml:space="preserve">Giá trị sinh viên tiết kiệm mỗi tháng, sau khi đo ($)</t>
  </si>
  <si>
    <t xml:space="preserve">Chưa đo: giữ $0 đến khi có thời gian lập kế hoạch và số lần sửa lịch ở baseline/pilot. Giá tham chiếu không chứng minh WTP.</t>
  </si>
  <si>
    <t xml:space="preserve">Số kế hoạch giao thành công kỳ vọng / tháng (ước tính)</t>
  </si>
  <si>
    <t xml:space="preserve">plans</t>
  </si>
  <si>
    <t xml:space="preserve">10% giá trị đo được — chỉ để phân tích độ nhạy</t>
  </si>
  <si>
    <t xml:space="preserve">25% giá trị đo được — chỉ để phân tích độ nhạy</t>
  </si>
  <si>
    <t xml:space="preserve">Giá trị nhân công có thể thay thế mỗi tháng, sau khi đo ($)</t>
  </si>
  <si>
    <t xml:space="preserve">Giá trị nhân công và giá trần chưa đo; tỷ lệ 50%/70% chỉ là tham chiếu, không chứng minh khách sẽ trả.</t>
  </si>
  <si>
    <t xml:space="preserve">Giá trần tham chiếu: 50% giá trị nhân công đo được</t>
  </si>
  <si>
    <t xml:space="preserve">Giá trần tham chiếu: 70% giá trị nhân công đo được</t>
  </si>
  <si>
    <t xml:space="preserve">C. GIÁ ĐỀ XUẤT VÀ GROSS MARGIN</t>
  </si>
  <si>
    <t xml:space="preserve">★ Giá thuê bao đề xuất ($ / seat-tháng)</t>
  </si>
  <si>
    <t xml:space="preserve">Giả thuyết thương mại: giá cố định theo seat, không thu theo kế hoạch giao. Bốn lượt tạo/tháng; chính sách chưa được duyệt.</t>
  </si>
  <si>
    <t xml:space="preserve">Bội số giá thuê bao / chi phí trực tiếp tháng</t>
  </si>
  <si>
    <t xml:space="preserve">→ GROSS MARGIN THUÊ BAO</t>
  </si>
  <si>
    <t xml:space="preserve">%</t>
  </si>
  <si>
    <t xml:space="preserve">→ Giá đề xuất đạt hệ số giá sàn tối thiểu?</t>
  </si>
  <si>
    <t xml:space="preserve">Trạng thái gross margin so với mục tiêu 60%</t>
  </si>
  <si>
    <t xml:space="preserve">Cảnh báo GM trên 85%: rà soát chi phí chưa ghi nhận</t>
  </si>
  <si>
    <t xml:space="preserve">Kiểm tra giá đề xuất so với sàn và trần</t>
  </si>
  <si>
    <t xml:space="preserve">FIXED-SUBSCRIPTION ECONOMICS — NOT OUTCOME BILLING</t>
  </si>
  <si>
    <t xml:space="preserve">A policy test hypothesis: four generation credits/month. One bounded technical retry is inside a credit; failed generations consume credit. Not approved launch terms.</t>
  </si>
  <si>
    <t xml:space="preserve">Monthly direct COGS / seat (4 credits)</t>
  </si>
  <si>
    <t xml:space="preserve">Fixed monthly subscription price / seat</t>
  </si>
  <si>
    <t xml:space="preserve">Generation credits per paid seat</t>
  </si>
  <si>
    <t xml:space="preserve">Expected delivered plans at assumed R</t>
  </si>
  <si>
    <t xml:space="preserve">Expected failed generations (not provider retries)</t>
  </si>
  <si>
    <t xml:space="preserve">R không đổi GM của thuê bao cố định; điều kiện lỗ trực tiếp</t>
  </si>
  <si>
    <t xml:space="preserve">Break variables: usage/cost per credit, refunds/credits, and retention. Technical retry rate is separate from model completion rate.</t>
  </si>
  <si>
    <t xml:space="preserve">→ Seat GM vs 60% target</t>
  </si>
  <si>
    <t xml:space="preserve">ĐỘ NHẠY — doanh thu/chi phí thuê bao cố định; số giao và tỷ lệ chẩn đoán đổi theo R</t>
  </si>
  <si>
    <t xml:space="preserve">Tỷ lệ hoàn tất R</t>
  </si>
  <si>
    <t xml:space="preserve">Kế hoạch giao / seat</t>
  </si>
  <si>
    <t xml:space="preserve">Chi phí trực tiếp / seat-tháng</t>
  </si>
  <si>
    <t xml:space="preserve">Chi phí / kế hoạch giao</t>
  </si>
  <si>
    <t xml:space="preserve">Giá thuê bao / kế hoạch (tỷ lệ chẩn đoán; không phải khoản thu)</t>
  </si>
  <si>
    <t xml:space="preserve">GM thuê bao cố định</t>
  </si>
  <si>
    <t xml:space="preserve">Lượt tạo lỗi / seat</t>
  </si>
  <si>
    <t xml:space="preserve">Xác suất ≥1 lỗi (giả định độc lập)</t>
  </si>
  <si>
    <t xml:space="preserve">R alone does not change fixed-subscription GM. Service delivery and expected failed requests do change.</t>
  </si>
  <si>
    <t xml:space="preserve">DIRECT-COST STRESS — infra estimate dominates; overhead remains excluded</t>
  </si>
  <si>
    <t xml:space="preserve">VALUE MEASUREMENT PLAN — NO ASSUMED VALUE</t>
  </si>
  <si>
    <t xml:space="preserve">METHOD</t>
  </si>
  <si>
    <t xml:space="preserve">EVIDENCE / LIMIT</t>
  </si>
  <si>
    <t xml:space="preserve">Case</t>
  </si>
  <si>
    <t xml:space="preserve">Infra / credit</t>
  </si>
  <si>
    <t xml:space="preserve">Direct cost / seat-month</t>
  </si>
  <si>
    <t xml:space="preserve">Seat GM</t>
  </si>
  <si>
    <t xml:space="preserve">Weekly planning time</t>
  </si>
  <si>
    <t xml:space="preserve">Two-week time diary: baseline vs pilot</t>
  </si>
  <si>
    <t xml:space="preserve">Minutes/week; same student and task load where possible</t>
  </si>
  <si>
    <t xml:space="preserve">Low infra ESTIMATE</t>
  </si>
  <si>
    <t xml:space="preserve">Schedule corrections</t>
  </si>
  <si>
    <t xml:space="preserve">Count manual edits and deadline conflicts</t>
  </si>
  <si>
    <t xml:space="preserve">Include unscheduled tasks and corrected source dates</t>
  </si>
  <si>
    <t xml:space="preserve">Base infra ESTIMATE</t>
  </si>
  <si>
    <t xml:space="preserve">Willingness to pay</t>
  </si>
  <si>
    <t xml:space="preserve">Transparent $4.99 opt-in checkout test</t>
  </si>
  <si>
    <t xml:space="preserve">Net paid, refunds, and retention; no survey-only WTP claim</t>
  </si>
  <si>
    <t xml:space="preserve">2× infra HIGH ESTIMATE</t>
  </si>
  <si>
    <t xml:space="preserve">Max infra / credit for ≥60% seat GM</t>
  </si>
  <si>
    <t xml:space="preserve">$/credit; estimated threshold</t>
  </si>
  <si>
    <t xml:space="preserve">ONE PRO-RATA FAILED-CREDIT REFUND — SENSITIVITY ONLY</t>
  </si>
  <si>
    <t xml:space="preserve">$/seat-month revenue credit; NOT APPROVED</t>
  </si>
  <si>
    <t xml:space="preserve">One $4.99/4 allowance restored or refunded per month; excludes support/retention effects. Consumer-friendly policy sensitivity, not offer.</t>
  </si>
  <si>
    <t xml:space="preserve">Giá đề xuất thuê bao ($/seat-tháng)</t>
  </si>
  <si>
    <t xml:space="preserve">Doanh thu / lượt tạo (giá cố định chia số lượt; không phải giá giao dịch)</t>
  </si>
  <si>
    <t xml:space="preserve">Hạ tầng tối đa tại COGS hòa vốn / lượt tạo</t>
  </si>
  <si>
    <t xml:space="preserve">Mục tiêu gross margin</t>
  </si>
  <si>
    <t xml:space="preserve">TAB 3 — VALUE METRIC SCORECARD</t>
  </si>
  <si>
    <t xml:space="preserve">Trạm 2. Chấm 0 / 1 / 2 điểm cho mỗi câu, theo THỰC TẾ HÔM NAY.</t>
  </si>
  <si>
    <t xml:space="preserve">A. ATTRIBUTION — bạn đo được kết quả là do AI tạo ra không?</t>
  </si>
  <si>
    <t xml:space="preserve">1. Tôi có log đầy đủ mỗi job AI xử lý, gắn được với kết quả cuối cùng</t>
  </si>
  <si>
    <t xml:space="preserve">2. Tôi có bộ eval đo được tỷ lệ AI làm đúng, có số liệu</t>
  </si>
  <si>
    <t xml:space="preserve">3. Khách hàng đồng ý với cách tôi định nghĩa 'thành công' của một job</t>
  </si>
  <si>
    <t xml:space="preserve">4. Tôi phân biệt được kết quả do AI tạo ra với kết quả do yếu tố khác</t>
  </si>
  <si>
    <t xml:space="preserve">5. Tôi viết được định nghĩa chặt như Intercom: cái gì tính tiền, cái gì không</t>
  </si>
  <si>
    <t xml:space="preserve">→ ĐIỂM ATTRIBUTION (tối đa 10)</t>
  </si>
  <si>
    <t xml:space="preserve">B. AUTONOMY — AI tự chạy hay cần người?</t>
  </si>
  <si>
    <t xml:space="preserve">1. AI hoàn thành job từ đầu đến cuối, không cần người bấm nút giữa chừng</t>
  </si>
  <si>
    <t xml:space="preserve">2. Job chạy được ngoài giờ hành chính mà không ai trực</t>
  </si>
  <si>
    <t xml:space="preserve">3. Khi AI không chắc, nó tự chuyển tiếp đúng chỗ — không cần người phân loại</t>
  </si>
  <si>
    <t xml:space="preserve">4. Tỷ lệ ca phải có người can thiệp dưới 20%</t>
  </si>
  <si>
    <t xml:space="preserve">5. Người vận hành chỉ kiểm tra mẫu (QA), không xử lý từng ca</t>
  </si>
  <si>
    <t xml:space="preserve">→ ĐIỂM AUTONOMY (tối đa 10)</t>
  </si>
  <si>
    <t xml:space="preserve">GỢI Ý CỦA MODEL</t>
  </si>
  <si>
    <t xml:space="preserve">→ Value Metric gợi ý</t>
  </si>
  <si>
    <t xml:space="preserve">Ngưỡng 7/10 là quy ước của bài tập, không phải chuẩn ngành — dùng để buộc bạn ra quyết định, không phải để thay bạn quyết định.</t>
  </si>
  <si>
    <t xml:space="preserve">BENCHMARK NGƯỢC — 2 sản phẩm thật cùng loại job</t>
  </si>
  <si>
    <t xml:space="preserve">RealStudy (official page; adjacent direct planner)</t>
  </si>
  <si>
    <t xml:space="preserve">Seat/month</t>
  </si>
  <si>
    <t xml:space="preserve">$6.90/month</t>
  </si>
  <si>
    <t xml:space="preserve">https://realstudy.app/</t>
  </si>
  <si>
    <t xml:space="preserve">StudyEdge AI Pro (official page; student weekly planner)</t>
  </si>
  <si>
    <t xml:space="preserve">$9.99/month</t>
  </si>
  <si>
    <t xml:space="preserve">https://getstudyedge.com/studyedge-ai</t>
  </si>
  <si>
    <t xml:space="preserve">QUYẾT ĐỊNH CUỐI</t>
  </si>
  <si>
    <t xml:space="preserve">Value Metric tôi chọn</t>
  </si>
  <si>
    <t xml:space="preserve">SEAT / month; 4 plans</t>
  </si>
  <si>
    <t xml:space="preserve">Nếu KHÁC gợi ý — lý do thị trường là gì?</t>
  </si>
  <si>
    <t xml:space="preserve">No Outcome: no AI logs, model eval, customer acceptance, or attributed student result. Seat is a test hypothesis; WTP unknown.</t>
  </si>
  <si>
    <t xml:space="preserve">Decision Note — câu 1: tôi chọn đơn vị nào?</t>
  </si>
  <si>
    <t xml:space="preserve">$4.99/seat/month; four generation credits (test policy, not approved).</t>
  </si>
  <si>
    <t xml:space="preserve">Decision Note — câu 2: bằng chứng Attribution / Autonomy?</t>
  </si>
  <si>
    <t xml:space="preserve">Attribution 1/10 (job definition only); Autonomy 0/10. No LLM or user outcomes measured.</t>
  </si>
  <si>
    <t xml:space="preserve">Decision Note — câu 3: mô hình này lỗ trong tình huống nào?</t>
  </si>
  <si>
    <t xml:space="preserve">TAB 4 — CHANNEL FIT &amp; AFFORDABILITY TEST</t>
  </si>
  <si>
    <t xml:space="preserve">Trạm 4. Chọn ĐÚNG 1 kênh cho 90 ngày đầu — và chứng minh bằng số.</t>
  </si>
  <si>
    <t xml:space="preserve">A. NGÂN SÁCH CAC — bạn nuôi nổi kênh nào?</t>
  </si>
  <si>
    <t xml:space="preserve">ARPU / tháng ($)</t>
  </si>
  <si>
    <t xml:space="preserve">Gross Margin (từ tab 2_Pricing)</t>
  </si>
  <si>
    <t xml:space="preserve">Phân khúc (SMB / Mid / Enterprise)</t>
  </si>
  <si>
    <t xml:space="preserve">B2C</t>
  </si>
  <si>
    <t xml:space="preserve">B2C; 3-month CAC payback is an ESTIMATE gate for low-price PLG, not a Bessemer benchmark.</t>
  </si>
  <si>
    <t xml:space="preserve">→ CAC payback cho phép (tháng)</t>
  </si>
  <si>
    <t xml:space="preserve">tháng</t>
  </si>
  <si>
    <t xml:space="preserve">Bessemer, Scaling to $100M (2024)</t>
  </si>
  <si>
    <t xml:space="preserve">★ NGÂN SÁCH CAC / khách</t>
  </si>
  <si>
    <t xml:space="preserve">ARPU × GM × số tháng payback</t>
  </si>
  <si>
    <t xml:space="preserve">→ ACV (giá trị hợp đồng / năm)</t>
  </si>
  <si>
    <t xml:space="preserve">B. SALES VIABILITY — một AE phải chốt bao nhiêu deal?</t>
  </si>
  <si>
    <t xml:space="preserve">Quota / AE / năm ($)</t>
  </si>
  <si>
    <t xml:space="preserve">$500k quota retained only as an AE counterfactual, not a UniPilot cost or target.</t>
  </si>
  <si>
    <t xml:space="preserve">Số ngày làm việc / năm</t>
  </si>
  <si>
    <t xml:space="preserve">ngày</t>
  </si>
  <si>
    <t xml:space="preserve">→ Số deal / AE / năm</t>
  </si>
  <si>
    <t xml:space="preserve">★ Số deal / AE / NGÀY</t>
  </si>
  <si>
    <t xml:space="preserve">deal/ngày</t>
  </si>
  <si>
    <t xml:space="preserve">→ Kết luận Sales-Led</t>
  </si>
  <si>
    <t xml:space="preserve">C. ĐỐI CHIẾU CAC THỰC TẾ CỦA MOTION CÓ SALES</t>
  </si>
  <si>
    <t xml:space="preserve">Cost per opportunity ($)</t>
  </si>
  <si>
    <t xml:space="preserve">$8,000/opportunity is an unverified GUIDE reference estimate; do not treat as current UniPilot evidence.</t>
  </si>
  <si>
    <t xml:space="preserve">Win rate</t>
  </si>
  <si>
    <t xml:space="preserve">25% assumed win rate solely for counterfactual sales CAC.</t>
  </si>
  <si>
    <t xml:space="preserve">→ CAC thực tế ước tính / khách</t>
  </si>
  <si>
    <t xml:space="preserve">★ Lệch bao nhiêu lần so với ngân sách CAC?</t>
  </si>
  <si>
    <t xml:space="preserve">Đây là bằng chứng chọn kênh của bạn</t>
  </si>
  <si>
    <t xml:space="preserve">→ Kết luận</t>
  </si>
  <si>
    <t xml:space="preserve">D. CHẤM ĐIỂM 3 KÊNH (1 = rất kém, 5 = rất tốt)</t>
  </si>
  <si>
    <t xml:space="preserve">Tiêu chí</t>
  </si>
  <si>
    <t xml:space="preserve">PLG</t>
  </si>
  <si>
    <t xml:space="preserve">Sales-Led</t>
  </si>
  <si>
    <t xml:space="preserve">Partner-Led</t>
  </si>
  <si>
    <t xml:space="preserve">1. Ngân sách CAC của tôi nuôi nổi kênh này</t>
  </si>
  <si>
    <t xml:space="preserve">CAC affordability: current base/stress $28.57/$75 exceed $11.69; only an unmeasured stretch target clears it.</t>
  </si>
  <si>
    <t xml:space="preserve">2. Khách hàng mục tiêu thực sự mua theo cách này</t>
  </si>
  <si>
    <t xml:space="preserve">Consumer affordability scored 2/5: no student interviews, price test or income evidence. Re-score after observed checkout/refund data.</t>
  </si>
  <si>
    <t xml:space="preserve">3. Đội hiện tại có năng lực chạy kênh này ngay</t>
  </si>
  <si>
    <t xml:space="preserve">4. Tôi tiếp cận được điểm nhúng / partner trong 30 ngày</t>
  </si>
  <si>
    <t xml:space="preserve">5. Kênh này đưa tôi đến ĐÚNG Pain Moment</t>
  </si>
  <si>
    <t xml:space="preserve">Pain fit scored 2/5: Sunday planning moment is a hypothesis, not an observed repeated behavior. Validate through interviews and diary study.</t>
  </si>
  <si>
    <t xml:space="preserve">6. Tôi đo được hiệu quả trong vòng 90 ngày</t>
  </si>
  <si>
    <t xml:space="preserve">→ TỔNG ĐIỂM</t>
  </si>
  <si>
    <t xml:space="preserve">→ Kênh điểm cao nhất</t>
  </si>
  <si>
    <t xml:space="preserve">E. CHỐT KÊNH</t>
  </si>
  <si>
    <t xml:space="preserve">★ Kênh tôi chọn cho 90 ngày đầu</t>
  </si>
  <si>
    <t xml:space="preserve">PLG / self-serve</t>
  </si>
  <si>
    <t xml:space="preserve">ĐÚNG 1 kênh. Chọn 2 kênh trở lên bị trừ điểm.</t>
  </si>
  <si>
    <t xml:space="preserve">Nếu Partner-Led: TÊN CÔNG TY partner</t>
  </si>
  <si>
    <t xml:space="preserve">N/A - no partner selected</t>
  </si>
  <si>
    <t xml:space="preserve">'Các nền tảng trong ngành' = chưa có kênh</t>
  </si>
  <si>
    <t xml:space="preserve">Đã nói chuyện với họ chưa? (Rồi / Chưa)</t>
  </si>
  <si>
    <t xml:space="preserve">Not applicable</t>
  </si>
  <si>
    <t xml:space="preserve">Bạn mang lại giá trị gì cho partner?</t>
  </si>
  <si>
    <t xml:space="preserve">PLG: student PWA; manual input + .ics. No LMS connector.</t>
  </si>
  <si>
    <t xml:space="preserve">Nếu rơi vào vùng không khả thi — lối thoát nào?</t>
  </si>
  <si>
    <t xml:space="preserve">Sales-led fails: $32k CAC vs $11.69 budget (estimates).</t>
  </si>
  <si>
    <t xml:space="preserve">Giảm giá để tự phục vụ / tăng giá + service / Partner-Led</t>
  </si>
  <si>
    <t xml:space="preserve">PLG CAC SCENARIOS — ALL ASSUMPTIONS, NOT OBSERVED</t>
  </si>
  <si>
    <t xml:space="preserve">Metric</t>
  </si>
  <si>
    <t xml:space="preserve">Stress</t>
  </si>
  <si>
    <t xml:space="preserve">Base</t>
  </si>
  <si>
    <t xml:space="preserve">Stretch target</t>
  </si>
  <si>
    <t xml:space="preserve">Planning assumptions only; not actual traffic, CAC or conversion</t>
  </si>
  <si>
    <t xml:space="preserve">Qualified visits</t>
  </si>
  <si>
    <t xml:space="preserve">Cost / qualified visit ($)</t>
  </si>
  <si>
    <t xml:space="preserve">Activation rate</t>
  </si>
  <si>
    <t xml:space="preserve">Paid conversion of activated</t>
  </si>
  <si>
    <t xml:space="preserve">Visit-to-paid conversion</t>
  </si>
  <si>
    <t xml:space="preserve">Expected paid customers</t>
  </si>
  <si>
    <t xml:space="preserve">Spend ($)</t>
  </si>
  <si>
    <t xml:space="preserve">CAC ($ / paid customer)</t>
  </si>
  <si>
    <t xml:space="preserve">Stress $75; base $28.57 miss $11.69. Stretch $7.50 is an unearned target, not evidence to scale.</t>
  </si>
  <si>
    <t xml:space="preserve">CAC budget</t>
  </si>
  <si>
    <t xml:space="preserve">GTM lead (proposed; awaiting learner confirmation)</t>
  </si>
  <si>
    <t xml:space="preserve">Test by 2026-11-30</t>
  </si>
  <si>
    <t xml:space="preserve">Scale only on measured net CAC ≤ budget and ≥30% week-4 retention.</t>
  </si>
  <si>
    <t xml:space="preserve">Break condition at 5% visit→paid conversion</t>
  </si>
  <si>
    <t xml:space="preserve">max visit cost ($); planning threshold</t>
  </si>
  <si>
    <t xml:space="preserve">Break condition at $0.75 / qualified visit</t>
  </si>
  <si>
    <t xml:space="preserve">min visit→paid conversion; planning threshold</t>
  </si>
  <si>
    <t xml:space="preserve">M2–3 target: 50 visits → 20 activated → 5 paid = 10% visit→paid / 25% activated→paid. Stretch, outside 2%–5% base/stress; not observed.</t>
  </si>
  <si>
    <t xml:space="preserve">Chosen channel: PLG/self-serve; no paid scaling until CAC and retention gates pass. Test organic/referral inside PLG with tagged links; no outcome claimed.</t>
  </si>
  <si>
    <t xml:space="preserve">TAB 5 — PAIN MOMENT · 90-DAY PLAN · EVIDENCE PACK</t>
  </si>
  <si>
    <t xml:space="preserve">Trạm 5 và Trạm 6.</t>
  </si>
  <si>
    <t xml:space="preserve">A. PAIN MOMENT — phải đủ 3 phần</t>
  </si>
  <si>
    <t xml:space="preserve">MẤY GIỜ khách đau nhất?</t>
  </si>
  <si>
    <t xml:space="preserve">Sunday, 20:00 ICT (PROPOSED pain moment)</t>
  </si>
  <si>
    <t xml:space="preserve">Lúc đó họ ĐANG LÀM GÌ?</t>
  </si>
  <si>
    <t xml:space="preserve">A student manually reviews deadlines and decides what to start before the coming study week.</t>
  </si>
  <si>
    <t xml:space="preserve">Họ đang DÙNG APP / KÊNH NÀO?</t>
  </si>
  <si>
    <t xml:space="preserve">Google Calendar and course LMS are the student's context; UniPilot has no verified integration and requires manual entry/paste.</t>
  </si>
  <si>
    <t xml:space="preserve">→ Điểm nhúng cụ thể của bạn</t>
  </si>
  <si>
    <t xml:space="preserve">PROPOSED mobile-first PWA weekly planner with manual task entry/paste and optional .ics download; no OAuth/LMS connector built.</t>
  </si>
  <si>
    <t xml:space="preserve">Một bề mặt tích hợp có tên, không phải 'website của chúng tôi'</t>
  </si>
  <si>
    <t xml:space="preserve">B. 90-DAY PLAN</t>
  </si>
  <si>
    <t xml:space="preserve">THÁNG 1 — Học</t>
  </si>
  <si>
    <t xml:space="preserve">THÁNG 2–3 — Đòn bẩy</t>
  </si>
  <si>
    <t xml:space="preserve">THÁNG 4+ — Mở rộng</t>
  </si>
  <si>
    <t xml:space="preserve">Kênh sử dụng</t>
  </si>
  <si>
    <t xml:space="preserve">PLG, self-serve web/PWA (PROPOSED)</t>
  </si>
  <si>
    <t xml:space="preserve">PLG, one self-serve student workflow</t>
  </si>
  <si>
    <t xml:space="preserve">Consider campus/LMS only after product usage and buyer evidence; not in first 90-day channel</t>
  </si>
  <si>
    <t xml:space="preserve">Mục tiêu số khách</t>
  </si>
  <si>
    <t xml:space="preserve">12 interviews; recruit 10 test participants (targets, not actuals)</t>
  </si>
  <si>
    <t xml:space="preserve">STRETCH TARGET only: 50 qualified visits → 20 activated → 5 paid (10% visit→paid); not base-case conversion or observed.</t>
  </si>
  <si>
    <t xml:space="preserve">Scale only after measured net CAC ≤ $11.69, ≥30% week-4 retention, and refund-adjusted cohorts; target, not observed.</t>
  </si>
  <si>
    <t xml:space="preserve">Việc cụ thể 1</t>
  </si>
  <si>
    <t xml:space="preserve">Interview 12 students with overlapping course deadlines; document current workaround and pain frequency.</t>
  </si>
  <si>
    <t xml:space="preserve">Run manual task-entry onboarding and .ics usability test; measure activation and weekly plan repeat.</t>
  </si>
  <si>
    <t xml:space="preserve">Test one additional academic cohort after retention and unit cost gates pass.</t>
  </si>
  <si>
    <t xml:space="preserve">Việc cụ thể 2</t>
  </si>
  <si>
    <t xml:space="preserve">Freeze this offline baseline; prepare an evaluation harness only. Run real-model tests after provider, privacy, budget and safety approval.</t>
  </si>
  <si>
    <t xml:space="preserve">Price test $4.99/month against free alternative; report actual conversions only if observed.</t>
  </si>
  <si>
    <t xml:space="preserve">Reassess subscription allowance from observed heavy-use distribution.</t>
  </si>
  <si>
    <t xml:space="preserve">Việc cụ thể 3</t>
  </si>
  <si>
    <t xml:space="preserve">Recruit opt-in testers; no pilot claim until consent and protocol are approved.</t>
  </si>
  <si>
    <t xml:space="preserve">2-week PLG falsification: 50 tagged visits; record activation, checkout, net paid/refunds, use and retention. Include a small referral/organic test; report zero as zero.</t>
  </si>
  <si>
    <t xml:space="preserve">Month 4+ possible campus channel discovery; no partner contacted or assumed.</t>
  </si>
  <si>
    <t xml:space="preserve">KPI đo được</t>
  </si>
  <si>
    <t xml:space="preserve">Gate: &gt;=8/12 interviews confirm weekly prioritization pain; &gt;=6/10 complete setup unaided.</t>
  </si>
  <si>
    <t xml:space="preserve">NO-GO paid scale unless measured net CAC ≤ $11.69 AND week-4 retention ≥30%; base/stress models miss CAC. Stretch 5 paid is a target only; otherwise stop paid spend, revise/test organic referral.</t>
  </si>
  <si>
    <t xml:space="preserve">Gate: repeat cohort evidence and paid acquisition payback &lt;=3 months before scale.</t>
  </si>
  <si>
    <t xml:space="preserve">Người chịu trách nhiệm</t>
  </si>
  <si>
    <t xml:space="preserve">Product lead (proposed; learner to confirm) · target 2026-11-01</t>
  </si>
  <si>
    <t xml:space="preserve">Product + Engineering + GTM leads (proposed; learner to confirm) · target 2026-11-30</t>
  </si>
  <si>
    <t xml:space="preserve">Product/GTM lead (proposed; learner to confirm) · 4-week follow-up through 2026-12-31</t>
  </si>
  <si>
    <t xml:space="preserve">Sequence: interview and manual baseline → private, consented test → evaluate retention and net CAC → decide whether to continue. No broad launch assumed.</t>
  </si>
  <si>
    <t xml:space="preserve">C. EVIDENCE PACK — 3 tài sản bán hàng</t>
  </si>
  <si>
    <t xml:space="preserve">Tài sản</t>
  </si>
  <si>
    <t xml:space="preserve">Đã có? (Rồi/Chưa)</t>
  </si>
  <si>
    <t xml:space="preserve">Nội dung 1 câu — hoặc việc cần làm</t>
  </si>
  <si>
    <t xml:space="preserve">Người phụ trách · Deadline</t>
  </si>
  <si>
    <t xml:space="preserve">1. Eval Results </t>
  </si>
  <si>
    <t xml:space="preserve">Offline synthetic baseline exists; no real-model evaluation.</t>
  </si>
  <si>
    <t xml:space="preserve">Offline rule baseline: 100/100 synthetic cases passed; only 273/639 task windows assigned. Real-model eval pending.</t>
  </si>
  <si>
    <t xml:space="preserve">Product/Engineering lead (proposed; learner to confirm) · model eval only after credential/privacy approval · target 2026-11-15</t>
  </si>
  <si>
    <t xml:space="preserve">2. Risk Checklist </t>
  </si>
  <si>
    <t xml:space="preserve">Draft Q&amp;A/risk checklist exists; production controls not verified.</t>
  </si>
  <si>
    <t xml:space="preserve">Procurement Q&amp;A and UniPilot risk checklist created; implementation claims marked PLANNED unless cited to code/tests.</t>
  </si>
  <si>
    <t xml:space="preserve">Product lead + Security reviewer (proposed; learner to confirm) · controls review · target 2026-11-15</t>
  </si>
  <si>
    <t xml:space="preserve">3. Pilot Report</t>
  </si>
  <si>
    <t xml:space="preserve">No real-user pilot has been run.</t>
  </si>
  <si>
    <t xml:space="preserve">Synthetic dry-run only; no real-user pilot has been run.</t>
  </si>
  <si>
    <t xml:space="preserve">Product/GTM lead (proposed; learner to confirm) · consent/protocol review · target 2026-11-15</t>
  </si>
  <si>
    <t xml:space="preserve">Ô nào CHƯA CÓ thì ghi deadline — đừng bỏ trống. Thành thật về khoảng trống được điểm cao hơn bịa nội dung.</t>
  </si>
  <si>
    <t xml:space="preserve">D. BÀI TEST NGƯỜI LẠ — nhóm khác đọc One-Pager trong 2 phút</t>
  </si>
  <si>
    <t xml:space="preserve">Họ trả lời được: bán gì, cho ai, tính tiền theo đơn vị nào? (Được/Không)</t>
  </si>
  <si>
    <t xml:space="preserve">Not tested with human reader</t>
  </si>
  <si>
    <t xml:space="preserve">Họ trả lời được: có lãi trên mỗi đơn vị không, số nào chứng minh? (Được/Không)</t>
  </si>
  <si>
    <t xml:space="preserve">Họ trả lời được: tiếp cận khách qua đâu, vì sao kênh đó? (Được/Không)</t>
  </si>
  <si>
    <t xml:space="preserve">Số câu họ phải hỏi lại (mục tiêu ≤ 3)</t>
  </si>
  <si>
    <t xml:space="preserve">N/A - simulated review only</t>
  </si>
  <si>
    <t xml:space="preserve">TAB 6 — BENCHMARKS (CHỈ ĐỌC)</t>
  </si>
  <si>
    <t xml:space="preserve">Advertised competitor facts last checked 2026-10-08; not evidence of UniPilot willingness to pay or outcomes.</t>
  </si>
  <si>
    <t xml:space="preserve">NGÀY BẠN KIỂM TRA LẠI GIÁ</t>
  </si>
  <si>
    <t xml:space="preserve">2026-10-08: official RealStudy, StudyEdge AI and Anthropic Haiku 4.5 pricing last checked. Anthropic also lists Haiku 5.5; not substituted without evaluation. Other GUIDE rows not re-verified.</t>
  </si>
  <si>
    <t xml:space="preserve">Other GUIDE benchmark rows are reference-only; not rechecked or used to support this positioning.</t>
  </si>
  <si>
    <t xml:space="preserve">Nhóm</t>
  </si>
  <si>
    <t xml:space="preserve">Mục</t>
  </si>
  <si>
    <t xml:space="preserve">Giá</t>
  </si>
  <si>
    <t xml:space="preserve">Đơn vị</t>
  </si>
  <si>
    <t xml:space="preserve">Nguồn</t>
  </si>
  <si>
    <t xml:space="preserve">Claude Opus 5 — input / output</t>
  </si>
  <si>
    <t xml:space="preserve">5,00 / 25,00</t>
  </si>
  <si>
    <t xml:space="preserve">$ / 1M token</t>
  </si>
  <si>
    <t xml:space="preserve">platform.claude.com/docs/en/about-claude/pricing</t>
  </si>
  <si>
    <t xml:space="preserve">Claude Sonnet 5 — input / output</t>
  </si>
  <si>
    <t xml:space="preserve">2,00 / 10,00</t>
  </si>
  <si>
    <t xml:space="preserve">Claude Haiku 4.5 (legacy scenario) — input / output</t>
  </si>
  <si>
    <t xml:space="preserve">$1 / $5 (input/output)</t>
  </si>
  <si>
    <t xml:space="preserve">https://platform.claude.com/docs/en/models/haiku-4-5/overview</t>
  </si>
  <si>
    <t xml:space="preserve">Claude — cache write 5' / cache read</t>
  </si>
  <si>
    <t xml:space="preserve">1.25x write / 0.10x read (5-min cache)</t>
  </si>
  <si>
    <t xml:space="preserve">hệ số</t>
  </si>
  <si>
    <t xml:space="preserve">⏳ OpenAI GPT-5.6 Sol — input / output</t>
  </si>
  <si>
    <t xml:space="preserve">4,00 / 20,00</t>
  </si>
  <si>
    <t xml:space="preserve">developers.openai.com/api/docs/pricing (KM 21/08–21/11/2026; list 5,00/30,00)</t>
  </si>
  <si>
    <t xml:space="preserve">OpenAI GPT-5.6 Luna — input / output</t>
  </si>
  <si>
    <t xml:space="preserve">0,20 / 1,20</t>
  </si>
  <si>
    <t xml:space="preserve">developers.openai.com/api/docs/pricing</t>
  </si>
  <si>
    <t xml:space="preserve">OpenAI — cached input / Batch API</t>
  </si>
  <si>
    <t xml:space="preserve">10% input / −50%</t>
  </si>
  <si>
    <t xml:space="preserve">Gemini 3.1 Pro — input / output (≤200k)</t>
  </si>
  <si>
    <t xml:space="preserve">2,00 / 12,00</t>
  </si>
  <si>
    <t xml:space="preserve">ai.google.dev/gemini-api/docs/pricing</t>
  </si>
  <si>
    <t xml:space="preserve">⏳ Gemini 3.7 Flash — input / output</t>
  </si>
  <si>
    <t xml:space="preserve">0,75 / 3,75</t>
  </si>
  <si>
    <t xml:space="preserve">ai.google.dev/gemini-api/docs/pricing (KM đến 31/12/2026; sau đó 1,50/7,50)</t>
  </si>
  <si>
    <t xml:space="preserve">STT</t>
  </si>
  <si>
    <t xml:space="preserve">Deepgram Nova-3 — pre-recorded</t>
  </si>
  <si>
    <t xml:space="preserve">0,0043</t>
  </si>
  <si>
    <t xml:space="preserve">$ / phút</t>
  </si>
  <si>
    <t xml:space="preserve">deepgram.com/pricing</t>
  </si>
  <si>
    <t xml:space="preserve">⏳ Deepgram Nova-3 — streaming</t>
  </si>
  <si>
    <t xml:space="preserve">list 0,0077 · KM 0,0048</t>
  </si>
  <si>
    <t xml:space="preserve">deepgram.com/pricing — đang khuyến mại, kiểm tra lại</t>
  </si>
  <si>
    <t xml:space="preserve">AssemblyAI Universal-2 — async</t>
  </si>
  <si>
    <t xml:space="preserve">0,0025</t>
  </si>
  <si>
    <t xml:space="preserve">assemblyai.com/pricing</t>
  </si>
  <si>
    <t xml:space="preserve">OpenAI gpt-4o-mini-transcribe</t>
  </si>
  <si>
    <t xml:space="preserve">0,0030</t>
  </si>
  <si>
    <t xml:space="preserve">TTS</t>
  </si>
  <si>
    <t xml:space="preserve">Google Cloud TTS — Standard</t>
  </si>
  <si>
    <t xml:space="preserve">4,00</t>
  </si>
  <si>
    <t xml:space="preserve">$ / 1M ký tự</t>
  </si>
  <si>
    <t xml:space="preserve">cloud.google.com/text-to-speech/pricing (rẻ nhất)</t>
  </si>
  <si>
    <t xml:space="preserve">OpenAI tts-1</t>
  </si>
  <si>
    <t xml:space="preserve">15,00</t>
  </si>
  <si>
    <t xml:space="preserve">ElevenLabs Flash / Turbo</t>
  </si>
  <si>
    <t xml:space="preserve">50,00</t>
  </si>
  <si>
    <t xml:space="preserve">elevenlabs.io/pricing/api</t>
  </si>
  <si>
    <t xml:space="preserve">ElevenLabs v3 / v2 Multilingual</t>
  </si>
  <si>
    <t xml:space="preserve">100,00</t>
  </si>
  <si>
    <t xml:space="preserve">Quy đổi</t>
  </si>
  <si>
    <t xml:space="preserve">Tốc độ nói</t>
  </si>
  <si>
    <t xml:space="preserve">≈ 900</t>
  </si>
  <si>
    <t xml:space="preserve">ký tự / phút</t>
  </si>
  <si>
    <t xml:space="preserve">≈150 từ/phút — dùng để đổi phút ↔ ký tự</t>
  </si>
  <si>
    <t xml:space="preserve">Lưu ý</t>
  </si>
  <si>
    <t xml:space="preserve">Google TTS — ký tự CJK</t>
  </si>
  <si>
    <t xml:space="preserve">tính là 1 ký tự</t>
  </si>
  <si>
    <t xml:space="preserve">—</t>
  </si>
  <si>
    <t xml:space="preserve">cloud.google.com/text-to-speech/pricing (KHÔNG phải ×2)</t>
  </si>
  <si>
    <t xml:space="preserve">Google STT — tính theo kênh</t>
  </si>
  <si>
    <t xml:space="preserve">4 kênh × 120s = 480s</t>
  </si>
  <si>
    <t xml:space="preserve">cloud.google.com/speech-to-text/pricing</t>
  </si>
  <si>
    <t xml:space="preserve">Streaming vs async STT</t>
  </si>
  <si>
    <t xml:space="preserve">1× đến ~5×</t>
  </si>
  <si>
    <t xml:space="preserve">Tuỳ nhà cung cấp — AssemblyAI 1,0× · Google ~5×. Đừng dùng hệ số chung</t>
  </si>
  <si>
    <t xml:space="preserve">Sản phẩm</t>
  </si>
  <si>
    <t xml:space="preserve">Intercom Fin — resolution</t>
  </si>
  <si>
    <t xml:space="preserve">0,99</t>
  </si>
  <si>
    <t xml:space="preserve">$ / outcome</t>
  </si>
  <si>
    <t xml:space="preserve">fin.ai/pricing</t>
  </si>
  <si>
    <t xml:space="preserve">Intercom Fin — qualification (sales)</t>
  </si>
  <si>
    <t xml:space="preserve">9,99</t>
  </si>
  <si>
    <t xml:space="preserve">Zendesk — automated resolution</t>
  </si>
  <si>
    <t xml:space="preserve">1,50</t>
  </si>
  <si>
    <t xml:space="preserve">$ / resolution</t>
  </si>
  <si>
    <t xml:space="preserve">zendesk.com/blog/ai/agentic-ai/outcome-based-pricing/ (blog, không trên trang giá)</t>
  </si>
  <si>
    <t xml:space="preserve">Salesforce Agentforce — Flex Credit</t>
  </si>
  <si>
    <t xml:space="preserve">0,005 (action = 0,10)</t>
  </si>
  <si>
    <t xml:space="preserve">$ / credit</t>
  </si>
  <si>
    <t xml:space="preserve">salesforce.com/agentforce/pricing</t>
  </si>
  <si>
    <t xml:space="preserve">Salesforce Agentforce — conversation</t>
  </si>
  <si>
    <t xml:space="preserve">2,00</t>
  </si>
  <si>
    <t xml:space="preserve">$ / conversation</t>
  </si>
  <si>
    <t xml:space="preserve">GitHub Copilot — AI Credit</t>
  </si>
  <si>
    <t xml:space="preserve">0,01</t>
  </si>
  <si>
    <t xml:space="preserve">docs.github.com/en/copilot/get-started/plans</t>
  </si>
  <si>
    <t xml:space="preserve">GitHub Copilot Business / Enterprise</t>
  </si>
  <si>
    <t xml:space="preserve">19 / 39</t>
  </si>
  <si>
    <t xml:space="preserve">$ / seat / tháng</t>
  </si>
  <si>
    <t xml:space="preserve">Notion — Business / credits</t>
  </si>
  <si>
    <t xml:space="preserve">20 / 10 per 1.000</t>
  </si>
  <si>
    <t xml:space="preserve">$ / member / tháng</t>
  </si>
  <si>
    <t xml:space="preserve">notion.com/pricing</t>
  </si>
  <si>
    <t xml:space="preserve">Benchmark</t>
  </si>
  <si>
    <t xml:space="preserve">Gross Margin AI-native 2026E</t>
  </si>
  <si>
    <t xml:space="preserve">≈ 53%</t>
  </si>
  <si>
    <t xml:space="preserve">ICONIQ, 2026 State of AI: The Builder's Economy (07/2026)</t>
  </si>
  <si>
    <t xml:space="preserve">Gross Margin cloud (middle 50%)</t>
  </si>
  <si>
    <t xml:space="preserve">60 – 80%</t>
  </si>
  <si>
    <t xml:space="preserve">Bessemer, Scaling to $100 Million (2024)</t>
  </si>
  <si>
    <t xml:space="preserve">Vertical AI — GM / model cost</t>
  </si>
  <si>
    <t xml:space="preserve">≈65% / ≈10% doanh thu</t>
  </si>
  <si>
    <t xml:space="preserve">Bessemer, State of the Cloud 2024</t>
  </si>
  <si>
    <t xml:space="preserve">CAC payback SMB / Mid / Enterprise</t>
  </si>
  <si>
    <t xml:space="preserve">12 / 18 / 24</t>
  </si>
  <si>
    <t xml:space="preserve">LTV : CAC</t>
  </si>
  <si>
    <t xml:space="preserve">≥ 3×</t>
  </si>
  <si>
    <t xml:space="preserve">lần</t>
  </si>
  <si>
    <t xml:space="preserve">David Skok, SaaS Metrics 2.0 (cập nhật 06/2026)</t>
  </si>
  <si>
    <t xml:space="preserve">Cost per opportunity 2026 (theo phân khúc)</t>
  </si>
  <si>
    <t xml:space="preserve">6.300 · 8.000 · 11.200</t>
  </si>
  <si>
    <t xml:space="preserve">$</t>
  </si>
  <si>
    <t xml:space="preserve">ICONIQ, State of GTM 2026 (tr.22)</t>
  </si>
  <si>
    <t xml:space="preserve">ACV sàn cho inside sales</t>
  </si>
  <si>
    <t xml:space="preserve">≈ 3.000</t>
  </si>
  <si>
    <t xml:space="preserve">$ / năm</t>
  </si>
  <si>
    <t xml:space="preserve">Tomasz Tunguz (2016) — có kèm giả định để tính lại</t>
  </si>
  <si>
    <t xml:space="preserve">Lưu ý: trang marketing của nhà cung cấp có thể hiển thị giá cũ hơn trang docs. Ưu tiên trang docs / pricing chính thức.</t>
  </si>
  <si>
    <t xml:space="preserve">STUDENT PLANNER ALTERNATIVES — PUBLIC CLAIMS; NOT A FEATURE OR OUTCOME AUDIT</t>
  </si>
  <si>
    <t xml:space="preserve">Option</t>
  </si>
  <si>
    <t xml:space="preserve">Advertised price / allowance</t>
  </si>
  <si>
    <t xml:space="preserve">Scheduling / outcomes described</t>
  </si>
  <si>
    <t xml:space="preserve">Limit / UniPilot comparison</t>
  </si>
  <si>
    <t xml:space="preserve">Primary source; checked 2026-10-08</t>
  </si>
  <si>
    <t xml:space="preserve">UniPilot (proposed)</t>
  </si>
  <si>
    <t xml:space="preserve">$4.99/mo; four generation credits (policy hypothesis)</t>
  </si>
  <si>
    <t xml:space="preserve">Weekly priority plan for manually supplied tasks; flags unscheduled items; optional .ics proposal</t>
  </si>
  <si>
    <t xml:space="preserve">No demonstrated auto syllabus import, auto-reschedule, tutor, or calendar/LMS sync. Differentiation unanswered.</t>
  </si>
  <si>
    <t xml:space="preserve">Internal proposal; no launch/customer evidence</t>
  </si>
  <si>
    <t xml:space="preserve">RealStudy</t>
  </si>
  <si>
    <t xml:space="preserve">$6.90/mo after 3-day trial; page advertises unlimited syllabus import/task breakdown</t>
  </si>
  <si>
    <t xml:space="preserve">Auto weekly plan, capacity meter, auto-reschedule, .ics export; vendor-described outcomes</t>
  </si>
  <si>
    <t xml:space="preserve">Broader published allowance/features than four UniPilot credits; marketing claims, no independent outcome validation.</t>
  </si>
  <si>
    <t xml:space="preserve">StudyEdge AI Pro</t>
  </si>
  <si>
    <t xml:space="preserve">$9.99/mo Pro; free 1 course + 5 AI sessions; $14.99 Unlimited</t>
  </si>
  <si>
    <t xml:space="preserve">Auto weekly schedule/rebalance; tutor, flashcards, quizzes, grade hub</t>
  </si>
  <si>
    <t xml:space="preserve">Broader study suite; vendor-described outcomes, no independent comparison test.</t>
  </si>
  <si>
    <t xml:space="preserve">Manual calendar/LMS</t>
  </si>
  <si>
    <t xml:space="preserve">Often included with existing school/account tools; incremental price varies</t>
  </si>
  <si>
    <t xml:space="preserve">Can record deadlines and student-blocked time; prioritization, workload fit and time saved unmeasured</t>
  </si>
  <si>
    <t xml:space="preserve">Baseline alternative to test. No assumption that UniPilot saves time or improves outcomes.</t>
  </si>
  <si>
    <t xml:space="preserve">No single provider/product; establish per participant</t>
  </si>
  <si>
    <t xml:space="preserve">Differentiation hypothesis to test: does one consolidated priority plan reduce planning time/corrections vs each student’s current workflow? Measure paired baseline and pilot; no superiority claim.</t>
  </si>
  <si>
    <t xml:space="preserve">WTP/value: capture baseline and pilot planning minutes, deadline corrections, unscheduled tasks, actual opt-in checkout, refunds and 4-week retention. No $ value inferred until measured.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</si>
</sst>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%"/>
    <numFmt numFmtId="167" formatCode="0.0"/>
    <numFmt numFmtId="168" formatCode="\$#,##0.00"/>
    <numFmt numFmtId="169" formatCode="\$#,##0.0000"/>
    <numFmt numFmtId="170" formatCode="#,##0.0"/>
    <numFmt numFmtId="171" formatCode="#,##0&quot; ₫&quot;"/>
    <numFmt numFmtId="172" formatCode="\$0.00"/>
    <numFmt numFmtId="173" formatCode="\$#,##0"/>
    <numFmt numFmtId="174" formatCode="#,##0.00"/>
    <numFmt numFmtId="175" formatCode="#,##0.0\×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E8EAF6"/>
      </patternFill>
    </fill>
    <fill>
      <patternFill patternType="solid">
        <fgColor rgb="FFE8EAF6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3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3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0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2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9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2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3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1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5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9" fillId="5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62"/>
    <col collapsed="false" customWidth="true" hidden="false" outlineLevel="0" max="8" min="3" style="1" width="15"/>
    <col collapsed="false" customWidth="true" hidden="false" outlineLevel="0" max="26" min="9" style="1" width="8.71"/>
  </cols>
  <sheetData>
    <row r="1" customFormat="false" ht="24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</row>
    <row r="2" customFormat="false" ht="15" hidden="false" customHeight="false" outlineLevel="0" collapsed="false">
      <c r="A2" s="4" t="s">
        <v>1</v>
      </c>
    </row>
    <row r="4" customFormat="false" ht="15" hidden="false" customHeight="false" outlineLevel="0" collapsed="false">
      <c r="A4" s="5" t="s">
        <v>2</v>
      </c>
    </row>
    <row r="5" customFormat="false" ht="15" hidden="false" customHeight="false" outlineLevel="0" collapsed="false">
      <c r="A5" s="6" t="s">
        <v>3</v>
      </c>
      <c r="B5" s="7" t="s">
        <v>4</v>
      </c>
    </row>
    <row r="6" customFormat="false" ht="15" hidden="false" customHeight="false" outlineLevel="0" collapsed="false">
      <c r="A6" s="8" t="s">
        <v>5</v>
      </c>
      <c r="B6" s="7" t="s">
        <v>6</v>
      </c>
    </row>
    <row r="7" customFormat="false" ht="15" hidden="false" customHeight="false" outlineLevel="0" collapsed="false">
      <c r="A7" s="9" t="s">
        <v>7</v>
      </c>
      <c r="B7" s="7" t="s">
        <v>8</v>
      </c>
    </row>
    <row r="8" customFormat="false" ht="15" hidden="false" customHeight="false" outlineLevel="0" collapsed="false">
      <c r="A8" s="10" t="s">
        <v>9</v>
      </c>
      <c r="B8" s="7" t="s">
        <v>10</v>
      </c>
    </row>
    <row r="10" customFormat="false" ht="15" hidden="false" customHeight="false" outlineLevel="0" collapsed="false">
      <c r="A10" s="5" t="s">
        <v>11</v>
      </c>
    </row>
    <row r="11" customFormat="false" ht="15" hidden="false" customHeight="false" outlineLevel="0" collapsed="false">
      <c r="A11" s="11" t="s">
        <v>12</v>
      </c>
      <c r="B11" s="7" t="s">
        <v>13</v>
      </c>
    </row>
    <row r="12" customFormat="false" ht="15" hidden="false" customHeight="false" outlineLevel="0" collapsed="false">
      <c r="A12" s="11" t="s">
        <v>14</v>
      </c>
      <c r="B12" s="7" t="s">
        <v>15</v>
      </c>
    </row>
    <row r="13" customFormat="false" ht="15" hidden="false" customHeight="false" outlineLevel="0" collapsed="false">
      <c r="A13" s="11" t="s">
        <v>16</v>
      </c>
      <c r="B13" s="7" t="s">
        <v>17</v>
      </c>
    </row>
    <row r="14" customFormat="false" ht="15" hidden="false" customHeight="false" outlineLevel="0" collapsed="false">
      <c r="A14" s="11" t="s">
        <v>18</v>
      </c>
      <c r="B14" s="7" t="s">
        <v>19</v>
      </c>
    </row>
    <row r="15" customFormat="false" ht="15" hidden="false" customHeight="false" outlineLevel="0" collapsed="false">
      <c r="A15" s="11" t="s">
        <v>20</v>
      </c>
      <c r="B15" s="7" t="s">
        <v>21</v>
      </c>
    </row>
    <row r="16" customFormat="false" ht="15" hidden="false" customHeight="false" outlineLevel="0" collapsed="false">
      <c r="A16" s="11" t="s">
        <v>22</v>
      </c>
      <c r="B16" s="7" t="s">
        <v>23</v>
      </c>
    </row>
    <row r="18" customFormat="false" ht="15" hidden="false" customHeight="false" outlineLevel="0" collapsed="false">
      <c r="A18" s="5" t="s">
        <v>24</v>
      </c>
    </row>
    <row r="19" customFormat="false" ht="15" hidden="false" customHeight="false" outlineLevel="0" collapsed="false">
      <c r="A19" s="7" t="s">
        <v>25</v>
      </c>
    </row>
    <row r="20" customFormat="false" ht="15" hidden="false" customHeight="false" outlineLevel="0" collapsed="false">
      <c r="A20" s="7" t="s">
        <v>26</v>
      </c>
    </row>
    <row r="21" customFormat="false" ht="15.75" hidden="false" customHeight="true" outlineLevel="0" collapsed="false">
      <c r="A21" s="7" t="s">
        <v>27</v>
      </c>
    </row>
    <row r="22" customFormat="false" ht="15.75" hidden="false" customHeight="true" outlineLevel="0" collapsed="false"/>
    <row r="23" customFormat="false" ht="15.75" hidden="false" customHeight="true" outlineLevel="0" collapsed="false">
      <c r="A23" s="4" t="s">
        <v>28</v>
      </c>
    </row>
    <row r="24" customFormat="false" ht="15.75" hidden="false" customHeight="true" outlineLevel="0" collapsed="false">
      <c r="A24" s="4" t="s">
        <v>29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6"/>
    <col collapsed="false" customWidth="true" hidden="false" outlineLevel="0" max="4" min="4" style="1" width="52"/>
    <col collapsed="false" customWidth="true" hidden="false" outlineLevel="0" max="8" min="5" style="1" width="15"/>
    <col collapsed="false" customWidth="true" hidden="false" outlineLevel="0" max="26" min="9" style="1" width="8.71"/>
  </cols>
  <sheetData>
    <row r="1" customFormat="false" ht="24" hidden="false" customHeight="true" outlineLevel="0" collapsed="false">
      <c r="A1" s="2" t="s">
        <v>30</v>
      </c>
      <c r="B1" s="3"/>
      <c r="C1" s="3"/>
      <c r="D1" s="3"/>
      <c r="E1" s="3"/>
      <c r="F1" s="3"/>
      <c r="G1" s="3"/>
      <c r="H1" s="3"/>
    </row>
    <row r="2" customFormat="false" ht="15" hidden="false" customHeight="false" outlineLevel="0" collapsed="false">
      <c r="A2" s="4" t="s">
        <v>31</v>
      </c>
    </row>
    <row r="4" customFormat="false" ht="15" hidden="false" customHeight="false" outlineLevel="0" collapsed="false">
      <c r="A4" s="12" t="s">
        <v>32</v>
      </c>
      <c r="B4" s="13"/>
      <c r="C4" s="13"/>
      <c r="D4" s="13"/>
      <c r="E4" s="13"/>
      <c r="F4" s="13"/>
      <c r="G4" s="13"/>
      <c r="H4" s="13"/>
    </row>
    <row r="5" customFormat="false" ht="68" hidden="false" customHeight="true" outlineLevel="0" collapsed="false">
      <c r="A5" s="14" t="s">
        <v>33</v>
      </c>
      <c r="B5" s="15" t="s">
        <v>34</v>
      </c>
      <c r="C5" s="16"/>
      <c r="D5" s="17" t="s">
        <v>35</v>
      </c>
    </row>
    <row r="6" customFormat="false" ht="15" hidden="false" customHeight="false" outlineLevel="0" collapsed="false">
      <c r="A6" s="7" t="s">
        <v>36</v>
      </c>
      <c r="B6" s="18" t="s">
        <v>37</v>
      </c>
      <c r="D6" s="4" t="s">
        <v>38</v>
      </c>
    </row>
    <row r="8" customFormat="false" ht="15" hidden="false" customHeight="false" outlineLevel="0" collapsed="false">
      <c r="A8" s="12" t="s">
        <v>39</v>
      </c>
      <c r="B8" s="13"/>
      <c r="C8" s="13"/>
      <c r="D8" s="13"/>
      <c r="E8" s="13"/>
      <c r="F8" s="13"/>
      <c r="G8" s="13"/>
      <c r="H8" s="13"/>
    </row>
    <row r="9" customFormat="false" ht="15" hidden="false" customHeight="false" outlineLevel="0" collapsed="false">
      <c r="A9" s="7" t="s">
        <v>40</v>
      </c>
      <c r="B9" s="19" t="n">
        <v>4</v>
      </c>
      <c r="C9" s="4" t="s">
        <v>41</v>
      </c>
      <c r="D9" s="1" t="s">
        <v>42</v>
      </c>
    </row>
    <row r="10" customFormat="false" ht="15" hidden="false" customHeight="false" outlineLevel="0" collapsed="false">
      <c r="A10" s="7" t="s">
        <v>43</v>
      </c>
      <c r="B10" s="20" t="n">
        <v>0.85</v>
      </c>
      <c r="D10" s="4" t="s">
        <v>44</v>
      </c>
    </row>
    <row r="11" customFormat="false" ht="15" hidden="false" customHeight="false" outlineLevel="0" collapsed="false">
      <c r="A11" s="7" t="s">
        <v>45</v>
      </c>
      <c r="B11" s="21" t="n">
        <f aca="false">B9*B10</f>
        <v>3.4</v>
      </c>
      <c r="C11" s="4" t="s">
        <v>41</v>
      </c>
      <c r="D11" s="4" t="s">
        <v>46</v>
      </c>
    </row>
    <row r="12" customFormat="false" ht="15" hidden="false" customHeight="false" outlineLevel="0" collapsed="false">
      <c r="A12" s="7" t="s">
        <v>47</v>
      </c>
      <c r="B12" s="21" t="n">
        <f aca="false">B9-B11</f>
        <v>0.6</v>
      </c>
      <c r="C12" s="4" t="s">
        <v>41</v>
      </c>
      <c r="D12" s="4" t="s">
        <v>48</v>
      </c>
    </row>
    <row r="14" customFormat="false" ht="15" hidden="false" customHeight="false" outlineLevel="0" collapsed="false">
      <c r="A14" s="12" t="s">
        <v>49</v>
      </c>
      <c r="B14" s="13"/>
      <c r="C14" s="13"/>
      <c r="D14" s="13"/>
      <c r="E14" s="13"/>
      <c r="F14" s="13"/>
      <c r="G14" s="13"/>
      <c r="H14" s="13"/>
    </row>
    <row r="15" customFormat="false" ht="15" hidden="false" customHeight="false" outlineLevel="0" collapsed="false">
      <c r="A15" s="7" t="s">
        <v>50</v>
      </c>
      <c r="B15" s="22" t="n">
        <v>1</v>
      </c>
      <c r="D15" s="4" t="s">
        <v>51</v>
      </c>
    </row>
    <row r="16" customFormat="false" ht="15" hidden="false" customHeight="false" outlineLevel="0" collapsed="false">
      <c r="A16" s="7" t="s">
        <v>52</v>
      </c>
      <c r="B16" s="22" t="n">
        <v>5</v>
      </c>
    </row>
    <row r="17" customFormat="false" ht="15" hidden="false" customHeight="false" outlineLevel="0" collapsed="false">
      <c r="A17" s="7" t="s">
        <v>53</v>
      </c>
      <c r="B17" s="22" t="n">
        <v>1.25</v>
      </c>
      <c r="D17" s="4" t="s">
        <v>54</v>
      </c>
    </row>
    <row r="18" customFormat="false" ht="15" hidden="false" customHeight="false" outlineLevel="0" collapsed="false">
      <c r="A18" s="7" t="s">
        <v>55</v>
      </c>
      <c r="B18" s="22" t="n">
        <v>0.1</v>
      </c>
      <c r="D18" s="4" t="s">
        <v>56</v>
      </c>
    </row>
    <row r="19" customFormat="false" ht="15" hidden="false" customHeight="false" outlineLevel="0" collapsed="false">
      <c r="A19" s="7" t="s">
        <v>57</v>
      </c>
      <c r="B19" s="19" t="n">
        <v>1</v>
      </c>
      <c r="C19" s="4" t="s">
        <v>58</v>
      </c>
    </row>
    <row r="20" customFormat="false" ht="15" hidden="false" customHeight="false" outlineLevel="0" collapsed="false">
      <c r="A20" s="7" t="s">
        <v>59</v>
      </c>
      <c r="B20" s="19" t="n">
        <v>0</v>
      </c>
      <c r="C20" s="4" t="s">
        <v>60</v>
      </c>
      <c r="D20" s="4" t="s">
        <v>61</v>
      </c>
    </row>
    <row r="21" customFormat="false" ht="15.75" hidden="false" customHeight="true" outlineLevel="0" collapsed="false">
      <c r="A21" s="7" t="s">
        <v>62</v>
      </c>
      <c r="B21" s="19" t="n">
        <v>4000</v>
      </c>
      <c r="C21" s="4" t="s">
        <v>60</v>
      </c>
      <c r="D21" s="4" t="s">
        <v>63</v>
      </c>
    </row>
    <row r="22" customFormat="false" ht="15.75" hidden="false" customHeight="true" outlineLevel="0" collapsed="false">
      <c r="A22" s="7" t="s">
        <v>64</v>
      </c>
      <c r="B22" s="19" t="n">
        <v>800</v>
      </c>
      <c r="C22" s="4" t="s">
        <v>60</v>
      </c>
    </row>
    <row r="23" customFormat="false" ht="15.75" hidden="false" customHeight="true" outlineLevel="0" collapsed="false">
      <c r="A23" s="7" t="s">
        <v>65</v>
      </c>
      <c r="B23" s="23" t="n">
        <f aca="false">B20*B17/1000000</f>
        <v>0</v>
      </c>
    </row>
    <row r="24" customFormat="false" ht="15.75" hidden="false" customHeight="true" outlineLevel="0" collapsed="false">
      <c r="A24" s="7" t="s">
        <v>66</v>
      </c>
      <c r="B24" s="23" t="n">
        <f aca="false">(B19-1)*B20*B18/1000000</f>
        <v>0</v>
      </c>
    </row>
    <row r="25" customFormat="false" ht="15.75" hidden="false" customHeight="true" outlineLevel="0" collapsed="false">
      <c r="A25" s="7" t="s">
        <v>67</v>
      </c>
      <c r="B25" s="23" t="n">
        <f aca="false">B19*B21*B15/1000000</f>
        <v>0.004</v>
      </c>
    </row>
    <row r="26" customFormat="false" ht="15.75" hidden="false" customHeight="true" outlineLevel="0" collapsed="false">
      <c r="A26" s="7" t="s">
        <v>68</v>
      </c>
      <c r="B26" s="23" t="n">
        <f aca="false">B19*B22*B16/1000000</f>
        <v>0.004</v>
      </c>
    </row>
    <row r="27" customFormat="false" ht="15.75" hidden="false" customHeight="true" outlineLevel="0" collapsed="false">
      <c r="A27" s="11" t="s">
        <v>69</v>
      </c>
      <c r="B27" s="24" t="n">
        <f aca="false">SUM(B23:B26)</f>
        <v>0.008</v>
      </c>
    </row>
    <row r="28" customFormat="false" ht="15.75" hidden="false" customHeight="true" outlineLevel="0" collapsed="false">
      <c r="A28" s="7" t="s">
        <v>70</v>
      </c>
      <c r="B28" s="23" t="n">
        <f aca="false">B19*(B20+B21)*B15/1000000+B26</f>
        <v>0.008</v>
      </c>
    </row>
    <row r="29" customFormat="false" ht="15.75" hidden="false" customHeight="true" outlineLevel="0" collapsed="false">
      <c r="A29" s="7" t="s">
        <v>71</v>
      </c>
      <c r="B29" s="25" t="n">
        <f aca="false">IF(B28=0,0,1-B27/B28)</f>
        <v>0</v>
      </c>
      <c r="D29" s="4" t="s">
        <v>72</v>
      </c>
    </row>
    <row r="30" customFormat="false" ht="15.75" hidden="false" customHeight="true" outlineLevel="0" collapsed="false">
      <c r="A30" s="7" t="s">
        <v>73</v>
      </c>
      <c r="B30" s="19" t="n">
        <v>0</v>
      </c>
      <c r="D30" s="4" t="s">
        <v>74</v>
      </c>
    </row>
    <row r="31" customFormat="false" ht="15.75" hidden="false" customHeight="true" outlineLevel="0" collapsed="false">
      <c r="A31" s="11" t="s">
        <v>75</v>
      </c>
      <c r="B31" s="24" t="n">
        <f aca="false">B27*(1-B30*0.5)</f>
        <v>0.008</v>
      </c>
    </row>
    <row r="32" customFormat="false" ht="15.75" hidden="false" customHeight="true" outlineLevel="0" collapsed="false"/>
    <row r="33" customFormat="false" ht="15.75" hidden="false" customHeight="true" outlineLevel="0" collapsed="false">
      <c r="A33" s="12" t="s">
        <v>76</v>
      </c>
      <c r="B33" s="13"/>
      <c r="C33" s="13"/>
      <c r="D33" s="13"/>
      <c r="E33" s="13"/>
      <c r="F33" s="13"/>
      <c r="G33" s="13"/>
      <c r="H33" s="13"/>
    </row>
    <row r="34" customFormat="false" ht="15.75" hidden="false" customHeight="true" outlineLevel="0" collapsed="false">
      <c r="A34" s="7" t="s">
        <v>77</v>
      </c>
      <c r="B34" s="26" t="n">
        <v>0</v>
      </c>
      <c r="D34" s="4" t="s">
        <v>78</v>
      </c>
    </row>
    <row r="35" customFormat="false" ht="15.75" hidden="false" customHeight="true" outlineLevel="0" collapsed="false">
      <c r="A35" s="7" t="s">
        <v>79</v>
      </c>
      <c r="B35" s="27" t="n">
        <v>0</v>
      </c>
      <c r="C35" s="4" t="s">
        <v>80</v>
      </c>
    </row>
    <row r="36" customFormat="false" ht="15.75" hidden="false" customHeight="true" outlineLevel="0" collapsed="false">
      <c r="A36" s="7" t="s">
        <v>81</v>
      </c>
      <c r="B36" s="22" t="n">
        <v>0</v>
      </c>
      <c r="D36" s="4" t="s">
        <v>82</v>
      </c>
    </row>
    <row r="37" customFormat="false" ht="15.75" hidden="false" customHeight="true" outlineLevel="0" collapsed="false">
      <c r="A37" s="7" t="s">
        <v>83</v>
      </c>
      <c r="B37" s="19" t="n">
        <v>0</v>
      </c>
      <c r="C37" s="4" t="s">
        <v>84</v>
      </c>
      <c r="D37" s="4" t="s">
        <v>85</v>
      </c>
    </row>
    <row r="38" customFormat="false" ht="15.75" hidden="false" customHeight="true" outlineLevel="0" collapsed="false">
      <c r="A38" s="7" t="s">
        <v>86</v>
      </c>
      <c r="B38" s="23" t="n">
        <f aca="false">B34*B35+B36*B37/1000000</f>
        <v>0</v>
      </c>
    </row>
    <row r="39" customFormat="false" ht="15.75" hidden="false" customHeight="true" outlineLevel="0" collapsed="false"/>
    <row r="40" customFormat="false" ht="15.75" hidden="false" customHeight="true" outlineLevel="0" collapsed="false">
      <c r="A40" s="12" t="s">
        <v>87</v>
      </c>
      <c r="B40" s="13"/>
      <c r="C40" s="13"/>
      <c r="D40" s="13"/>
      <c r="E40" s="13"/>
      <c r="F40" s="13"/>
      <c r="G40" s="13"/>
      <c r="H40" s="13"/>
    </row>
    <row r="41" customFormat="false" ht="15.75" hidden="false" customHeight="true" outlineLevel="0" collapsed="false">
      <c r="A41" s="7" t="s">
        <v>88</v>
      </c>
      <c r="B41" s="26" t="n">
        <v>0.25</v>
      </c>
      <c r="D41" s="4" t="s">
        <v>89</v>
      </c>
    </row>
    <row r="42" customFormat="false" ht="15.75" hidden="false" customHeight="true" outlineLevel="0" collapsed="false">
      <c r="A42" s="7" t="s">
        <v>90</v>
      </c>
      <c r="B42" s="26" t="n">
        <v>0</v>
      </c>
    </row>
    <row r="43" customFormat="false" ht="15.75" hidden="false" customHeight="true" outlineLevel="0" collapsed="false">
      <c r="A43" s="7" t="s">
        <v>91</v>
      </c>
      <c r="B43" s="23" t="n">
        <f aca="false">B41+B42*B35</f>
        <v>0.25</v>
      </c>
    </row>
    <row r="44" customFormat="false" ht="15.75" hidden="false" customHeight="true" outlineLevel="0" collapsed="false"/>
    <row r="45" customFormat="false" ht="15.75" hidden="false" customHeight="true" outlineLevel="0" collapsed="false">
      <c r="A45" s="12" t="s">
        <v>92</v>
      </c>
      <c r="B45" s="13"/>
      <c r="C45" s="13"/>
      <c r="D45" s="13"/>
      <c r="E45" s="13"/>
      <c r="F45" s="13"/>
      <c r="G45" s="13"/>
      <c r="H45" s="13"/>
    </row>
    <row r="46" customFormat="false" ht="15.75" hidden="false" customHeight="true" outlineLevel="0" collapsed="false">
      <c r="A46" s="7" t="s">
        <v>93</v>
      </c>
      <c r="B46" s="20" t="n">
        <v>0.08</v>
      </c>
      <c r="D46" s="4" t="s">
        <v>94</v>
      </c>
    </row>
    <row r="47" customFormat="false" ht="15.75" hidden="false" customHeight="true" outlineLevel="0" collapsed="false">
      <c r="A47" s="7" t="s">
        <v>95</v>
      </c>
      <c r="B47" s="23" t="n">
        <f aca="false">(B31+B38)*B46</f>
        <v>0.00064</v>
      </c>
    </row>
    <row r="48" customFormat="false" ht="15.75" hidden="false" customHeight="true" outlineLevel="0" collapsed="false">
      <c r="A48" s="1" t="s">
        <v>96</v>
      </c>
      <c r="B48" s="28" t="n">
        <f aca="false">B9*(1+B46)</f>
        <v>4.32</v>
      </c>
      <c r="C48" s="1" t="s">
        <v>97</v>
      </c>
      <c r="D48" s="1" t="s">
        <v>98</v>
      </c>
    </row>
    <row r="49" customFormat="false" ht="15.75" hidden="false" customHeight="true" outlineLevel="0" collapsed="false">
      <c r="A49" s="12" t="s">
        <v>99</v>
      </c>
      <c r="B49" s="13"/>
      <c r="C49" s="13"/>
      <c r="D49" s="13"/>
      <c r="E49" s="13"/>
      <c r="F49" s="13"/>
      <c r="G49" s="13"/>
      <c r="H49" s="13"/>
    </row>
    <row r="50" customFormat="false" ht="15.75" hidden="false" customHeight="true" outlineLevel="0" collapsed="false">
      <c r="A50" s="7" t="s">
        <v>100</v>
      </c>
      <c r="B50" s="22" t="n">
        <v>9</v>
      </c>
      <c r="D50" s="4" t="s">
        <v>101</v>
      </c>
    </row>
    <row r="51" customFormat="false" ht="15.75" hidden="false" customHeight="true" outlineLevel="0" collapsed="false">
      <c r="A51" s="7" t="s">
        <v>102</v>
      </c>
      <c r="B51" s="20" t="n">
        <v>0.05</v>
      </c>
      <c r="D51" s="4" t="s">
        <v>103</v>
      </c>
    </row>
    <row r="52" customFormat="false" ht="15.75" hidden="false" customHeight="true" outlineLevel="0" collapsed="false">
      <c r="A52" s="7" t="s">
        <v>104</v>
      </c>
      <c r="B52" s="27" t="n">
        <v>2</v>
      </c>
      <c r="C52" s="4" t="s">
        <v>80</v>
      </c>
    </row>
    <row r="53" customFormat="false" ht="15.75" hidden="false" customHeight="true" outlineLevel="0" collapsed="false">
      <c r="A53" s="7" t="s">
        <v>105</v>
      </c>
      <c r="B53" s="27" t="n">
        <v>6</v>
      </c>
      <c r="C53" s="4" t="s">
        <v>80</v>
      </c>
    </row>
    <row r="54" customFormat="false" ht="15.75" hidden="false" customHeight="true" outlineLevel="0" collapsed="false">
      <c r="A54" s="7" t="s">
        <v>106</v>
      </c>
      <c r="B54" s="29" t="n">
        <f aca="false">B9*B51*(B52/60)*B50</f>
        <v>0.06</v>
      </c>
    </row>
    <row r="55" customFormat="false" ht="15.75" hidden="false" customHeight="true" outlineLevel="0" collapsed="false">
      <c r="A55" s="7" t="s">
        <v>107</v>
      </c>
      <c r="B55" s="29" t="n">
        <f aca="false">IF(B6="B",B12*(B53/60)*B50,0)</f>
        <v>0</v>
      </c>
      <c r="D55" s="4" t="s">
        <v>108</v>
      </c>
    </row>
    <row r="56" customFormat="false" ht="15.75" hidden="false" customHeight="true" outlineLevel="0" collapsed="false">
      <c r="A56" s="11" t="s">
        <v>109</v>
      </c>
      <c r="B56" s="30" t="n">
        <f aca="false">B54+B55</f>
        <v>0.06</v>
      </c>
    </row>
    <row r="57" customFormat="false" ht="15.75" hidden="false" customHeight="true" outlineLevel="0" collapsed="false"/>
    <row r="58" customFormat="false" ht="15.75" hidden="false" customHeight="true" outlineLevel="0" collapsed="false">
      <c r="A58" s="12" t="s">
        <v>110</v>
      </c>
      <c r="B58" s="13"/>
      <c r="C58" s="13"/>
      <c r="D58" s="13"/>
      <c r="E58" s="13"/>
      <c r="F58" s="13"/>
      <c r="G58" s="13"/>
      <c r="H58" s="13"/>
    </row>
    <row r="59" customFormat="false" ht="15.75" hidden="false" customHeight="true" outlineLevel="0" collapsed="false">
      <c r="A59" s="7" t="s">
        <v>111</v>
      </c>
      <c r="B59" s="22" t="n">
        <v>0</v>
      </c>
      <c r="D59" s="4" t="s">
        <v>112</v>
      </c>
    </row>
    <row r="60" customFormat="false" ht="15.75" hidden="false" customHeight="true" outlineLevel="0" collapsed="false"/>
    <row r="61" customFormat="false" ht="15.75" hidden="false" customHeight="true" outlineLevel="0" collapsed="false">
      <c r="A61" s="12" t="s">
        <v>113</v>
      </c>
      <c r="B61" s="13"/>
      <c r="C61" s="13"/>
      <c r="D61" s="13"/>
      <c r="E61" s="13"/>
      <c r="F61" s="13"/>
      <c r="G61" s="13"/>
      <c r="H61" s="13"/>
    </row>
    <row r="62" customFormat="false" ht="15.75" hidden="false" customHeight="true" outlineLevel="0" collapsed="false">
      <c r="A62" s="7" t="s">
        <v>114</v>
      </c>
      <c r="B62" s="29" t="n">
        <f aca="false">B9*(B31+B38+B43+B47)</f>
        <v>1.03456</v>
      </c>
    </row>
    <row r="63" customFormat="false" ht="15.75" hidden="false" customHeight="true" outlineLevel="0" collapsed="false">
      <c r="A63" s="7" t="s">
        <v>115</v>
      </c>
      <c r="B63" s="29" t="n">
        <f aca="false">B56</f>
        <v>0.06</v>
      </c>
    </row>
    <row r="64" customFormat="false" ht="15.75" hidden="false" customHeight="true" outlineLevel="0" collapsed="false">
      <c r="A64" s="7" t="s">
        <v>116</v>
      </c>
      <c r="B64" s="29" t="n">
        <f aca="false">B59</f>
        <v>0</v>
      </c>
    </row>
    <row r="65" customFormat="false" ht="15.75" hidden="false" customHeight="true" outlineLevel="0" collapsed="false">
      <c r="A65" s="7" t="s">
        <v>117</v>
      </c>
      <c r="B65" s="29" t="n">
        <f aca="false">B62+B63+B64</f>
        <v>1.09456</v>
      </c>
    </row>
    <row r="66" customFormat="false" ht="15.75" hidden="false" customHeight="true" outlineLevel="0" collapsed="false">
      <c r="A66" s="11" t="s">
        <v>118</v>
      </c>
      <c r="B66" s="24" t="n">
        <f aca="false">IF(B11=0,0,(B62+B63)/B11)</f>
        <v>0.321929411764706</v>
      </c>
      <c r="C66" s="4" t="s">
        <v>119</v>
      </c>
      <c r="D66" s="4" t="s">
        <v>120</v>
      </c>
    </row>
    <row r="67" customFormat="false" ht="15.75" hidden="false" customHeight="true" outlineLevel="0" collapsed="false">
      <c r="A67" s="11" t="s">
        <v>121</v>
      </c>
      <c r="B67" s="24" t="n">
        <f aca="false">IF(B11=0,0,B65/B11)</f>
        <v>0.321929411764706</v>
      </c>
      <c r="C67" s="4" t="s">
        <v>119</v>
      </c>
    </row>
    <row r="68" customFormat="false" ht="15.75" hidden="false" customHeight="true" outlineLevel="0" collapsed="false">
      <c r="A68" s="7" t="s">
        <v>122</v>
      </c>
      <c r="B68" s="19" t="n">
        <v>26000</v>
      </c>
      <c r="C68" s="4" t="s">
        <v>123</v>
      </c>
      <c r="D68" s="4" t="s">
        <v>124</v>
      </c>
    </row>
    <row r="69" customFormat="false" ht="15.75" hidden="false" customHeight="true" outlineLevel="0" collapsed="false">
      <c r="A69" s="7" t="s">
        <v>125</v>
      </c>
      <c r="B69" s="31" t="n">
        <f aca="false">B66*B68</f>
        <v>8370.16470588235</v>
      </c>
      <c r="C69" s="4" t="s">
        <v>126</v>
      </c>
    </row>
    <row r="70" customFormat="false" ht="15.75" hidden="false" customHeight="true" outlineLevel="0" collapsed="false"/>
    <row r="71" customFormat="false" ht="15.75" hidden="false" customHeight="true" outlineLevel="0" collapsed="false">
      <c r="A71" s="12" t="s">
        <v>127</v>
      </c>
      <c r="B71" s="13"/>
      <c r="C71" s="13"/>
      <c r="D71" s="13"/>
      <c r="E71" s="13"/>
      <c r="F71" s="13"/>
      <c r="G71" s="13"/>
      <c r="H71" s="13"/>
    </row>
    <row r="72" customFormat="false" ht="15.75" hidden="false" customHeight="true" outlineLevel="0" collapsed="false">
      <c r="A72" s="7" t="s">
        <v>128</v>
      </c>
      <c r="B72" s="29" t="n">
        <f aca="false">B9*B31</f>
        <v>0.032</v>
      </c>
      <c r="C72" s="25" t="n">
        <f aca="false">IF($B$65=0,0,B72/$B$65)</f>
        <v>0.029235491887151</v>
      </c>
    </row>
    <row r="73" customFormat="false" ht="15.75" hidden="false" customHeight="true" outlineLevel="0" collapsed="false">
      <c r="A73" s="7" t="s">
        <v>129</v>
      </c>
      <c r="B73" s="29" t="n">
        <f aca="false">B9*B38</f>
        <v>0</v>
      </c>
      <c r="C73" s="25" t="n">
        <f aca="false">IF($B$65=0,0,B73/$B$65)</f>
        <v>0</v>
      </c>
    </row>
    <row r="74" customFormat="false" ht="15.75" hidden="false" customHeight="true" outlineLevel="0" collapsed="false">
      <c r="A74" s="7" t="s">
        <v>130</v>
      </c>
      <c r="B74" s="29" t="n">
        <f aca="false">B9*B43</f>
        <v>1</v>
      </c>
      <c r="C74" s="25" t="n">
        <f aca="false">IF($B$65=0,0,B74/$B$65)</f>
        <v>0.913609121473469</v>
      </c>
    </row>
    <row r="75" customFormat="false" ht="15.75" hidden="false" customHeight="true" outlineLevel="0" collapsed="false">
      <c r="A75" s="7" t="s">
        <v>131</v>
      </c>
      <c r="B75" s="29" t="n">
        <f aca="false">B9*B47</f>
        <v>0.00256</v>
      </c>
      <c r="C75" s="25" t="n">
        <f aca="false">IF($B$65=0,0,B75/$B$65)</f>
        <v>0.00233883935097208</v>
      </c>
    </row>
    <row r="76" customFormat="false" ht="15.75" hidden="false" customHeight="true" outlineLevel="0" collapsed="false">
      <c r="A76" s="7" t="s">
        <v>132</v>
      </c>
      <c r="B76" s="29" t="n">
        <f aca="false">B56</f>
        <v>0.06</v>
      </c>
      <c r="C76" s="25" t="n">
        <f aca="false">IF($B$65=0,0,B76/$B$65)</f>
        <v>0.0548165472884081</v>
      </c>
    </row>
    <row r="77" customFormat="false" ht="15.75" hidden="false" customHeight="true" outlineLevel="0" collapsed="false">
      <c r="A77" s="7" t="s">
        <v>133</v>
      </c>
      <c r="B77" s="29" t="n">
        <f aca="false">B59</f>
        <v>0</v>
      </c>
      <c r="C77" s="25" t="n">
        <f aca="false">IF($B$65=0,0,B77/$B$65)</f>
        <v>0</v>
      </c>
    </row>
    <row r="78" customFormat="false" ht="15.75" hidden="false" customHeight="true" outlineLevel="0" collapsed="false">
      <c r="A78" s="4" t="s">
        <v>134</v>
      </c>
    </row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false" showErrorMessage="false" showInputMessage="false" sqref="B6" type="list">
      <formula1>"A,B"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54"/>
    <col collapsed="false" customWidth="true" hidden="false" outlineLevel="0" max="6" min="6" style="0" width="32"/>
    <col collapsed="false" customWidth="true" hidden="false" outlineLevel="0" max="8" min="7" style="0" width="42"/>
    <col collapsed="false" customWidth="true" hidden="false" outlineLevel="0" max="26" min="9" style="0" width="8.71"/>
  </cols>
  <sheetData>
    <row r="1" customFormat="false" ht="24" hidden="false" customHeight="true" outlineLevel="0" collapsed="false">
      <c r="A1" s="1" t="s">
        <v>135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136</v>
      </c>
    </row>
    <row r="4" customFormat="false" ht="15" hidden="false" customHeight="false" outlineLevel="0" collapsed="false">
      <c r="A4" s="7" t="s">
        <v>137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6" t="s">
        <v>138</v>
      </c>
      <c r="B5" s="20" t="n">
        <f aca="false">'1_Cost_Job'!B62+'1_Cost_Job'!B63</f>
        <v>1.09456</v>
      </c>
      <c r="C5" s="3" t="s">
        <v>139</v>
      </c>
      <c r="D5" s="0" t="s">
        <v>140</v>
      </c>
    </row>
    <row r="6" customFormat="false" ht="22.35" hidden="false" customHeight="false" outlineLevel="0" collapsed="false">
      <c r="A6" s="6" t="s">
        <v>141</v>
      </c>
      <c r="B6" s="21" t="n">
        <v>3</v>
      </c>
      <c r="C6" s="3" t="s">
        <v>142</v>
      </c>
      <c r="D6" s="17" t="s">
        <v>143</v>
      </c>
    </row>
    <row r="7" customFormat="false" ht="15" hidden="false" customHeight="false" outlineLevel="0" collapsed="false">
      <c r="A7" s="12" t="s">
        <v>144</v>
      </c>
      <c r="B7" s="23" t="n">
        <f aca="false">B5*B6</f>
        <v>3.28368</v>
      </c>
      <c r="C7" s="3" t="s">
        <v>139</v>
      </c>
    </row>
    <row r="9" customFormat="false" ht="15" hidden="false" customHeight="false" outlineLevel="0" collapsed="false">
      <c r="A9" s="7" t="s">
        <v>145</v>
      </c>
      <c r="B9" s="10"/>
      <c r="C9" s="10"/>
      <c r="D9" s="10"/>
      <c r="E9" s="10"/>
      <c r="F9" s="10"/>
      <c r="G9" s="10"/>
      <c r="H9" s="10"/>
    </row>
    <row r="10" customFormat="false" ht="15" hidden="false" customHeight="false" outlineLevel="0" collapsed="false">
      <c r="A10" s="6" t="s">
        <v>146</v>
      </c>
      <c r="B10" s="25" t="n">
        <v>0</v>
      </c>
      <c r="D10" s="3" t="s">
        <v>147</v>
      </c>
    </row>
    <row r="11" customFormat="false" ht="15" hidden="false" customHeight="false" outlineLevel="0" collapsed="false">
      <c r="A11" s="6" t="s">
        <v>148</v>
      </c>
      <c r="B11" s="32" t="n">
        <f aca="false">'1_Cost_Job'!B11</f>
        <v>3.4</v>
      </c>
      <c r="C11" s="3" t="s">
        <v>149</v>
      </c>
    </row>
    <row r="12" customFormat="false" ht="15" hidden="false" customHeight="false" outlineLevel="0" collapsed="false">
      <c r="A12" s="6" t="s">
        <v>150</v>
      </c>
      <c r="B12" s="24" t="n">
        <f aca="false">B10*0.1</f>
        <v>0</v>
      </c>
      <c r="C12" s="3" t="s">
        <v>139</v>
      </c>
    </row>
    <row r="13" customFormat="false" ht="15" hidden="false" customHeight="false" outlineLevel="0" collapsed="false">
      <c r="A13" s="6" t="s">
        <v>151</v>
      </c>
      <c r="B13" s="24" t="n">
        <f aca="false">B10*0.25</f>
        <v>0</v>
      </c>
      <c r="C13" s="3" t="s">
        <v>139</v>
      </c>
    </row>
    <row r="14" customFormat="false" ht="15" hidden="false" customHeight="false" outlineLevel="0" collapsed="false">
      <c r="A14" s="6" t="s">
        <v>152</v>
      </c>
      <c r="B14" s="25" t="n">
        <v>0</v>
      </c>
      <c r="D14" s="3" t="s">
        <v>153</v>
      </c>
    </row>
    <row r="15" customFormat="false" ht="15" hidden="false" customHeight="false" outlineLevel="0" collapsed="false">
      <c r="A15" s="6" t="s">
        <v>154</v>
      </c>
      <c r="B15" s="24" t="n">
        <f aca="false">IF(B11=0,0,B14*0.5)</f>
        <v>0</v>
      </c>
      <c r="C15" s="3" t="s">
        <v>139</v>
      </c>
    </row>
    <row r="16" customFormat="false" ht="15" hidden="false" customHeight="false" outlineLevel="0" collapsed="false">
      <c r="A16" s="6" t="s">
        <v>155</v>
      </c>
      <c r="B16" s="24" t="n">
        <f aca="false">IF(B11=0,0,B14*0.7)</f>
        <v>0</v>
      </c>
      <c r="C16" s="3" t="s">
        <v>139</v>
      </c>
    </row>
    <row r="18" customFormat="false" ht="15" hidden="false" customHeight="false" outlineLevel="0" collapsed="false">
      <c r="A18" s="7" t="s">
        <v>156</v>
      </c>
      <c r="B18" s="10"/>
      <c r="C18" s="10"/>
      <c r="D18" s="10"/>
      <c r="E18" s="10"/>
      <c r="F18" s="10"/>
      <c r="G18" s="10"/>
      <c r="H18" s="10"/>
    </row>
    <row r="19" customFormat="false" ht="15" hidden="false" customHeight="false" outlineLevel="0" collapsed="false">
      <c r="A19" s="6" t="s">
        <v>157</v>
      </c>
      <c r="B19" s="29" t="n">
        <f aca="false">'4_Channel_Fit'!B5</f>
        <v>4.99</v>
      </c>
      <c r="C19" s="3" t="s">
        <v>139</v>
      </c>
      <c r="D19" s="3" t="s">
        <v>158</v>
      </c>
    </row>
    <row r="20" customFormat="false" ht="15" hidden="false" customHeight="false" outlineLevel="0" collapsed="false">
      <c r="A20" s="6" t="s">
        <v>159</v>
      </c>
      <c r="B20" s="30" t="n">
        <f aca="false">IF(B5=0,0,B19/B5)</f>
        <v>4.55890951615261</v>
      </c>
      <c r="C20" s="0" t="s">
        <v>142</v>
      </c>
    </row>
    <row r="21" customFormat="false" ht="15.75" hidden="false" customHeight="true" outlineLevel="0" collapsed="false">
      <c r="A21" s="12" t="s">
        <v>160</v>
      </c>
      <c r="B21" s="31" t="n">
        <f aca="false">IF(B19=0,0,1-B5/B19)</f>
        <v>0.780649298597195</v>
      </c>
      <c r="C21" s="0" t="s">
        <v>161</v>
      </c>
    </row>
    <row r="22" customFormat="false" ht="15.75" hidden="false" customHeight="true" outlineLevel="0" collapsed="false">
      <c r="A22" s="6" t="s">
        <v>162</v>
      </c>
      <c r="B22" s="8" t="str">
        <f aca="false">IF(B20&gt;=B6,"OK — ĐẠT","KHÔNG ĐẠT — quay lại tab 1")</f>
        <v>OK — ĐẠT</v>
      </c>
    </row>
    <row r="23" customFormat="false" ht="15.75" hidden="false" customHeight="true" outlineLevel="0" collapsed="false">
      <c r="A23" s="6" t="s">
        <v>163</v>
      </c>
      <c r="B23" s="8" t="str">
        <f aca="false">IF(B21&gt;=0.6,"OK — AN TOÀN (≥60%)",IF(B21&gt;=0.5,"CẢNH BÁO (50–60%)","NGUY HIỂM (&lt;50%)"))</f>
        <v>OK — AN TOÀN (≥60%)</v>
      </c>
    </row>
    <row r="24" customFormat="false" ht="15.75" hidden="false" customHeight="true" outlineLevel="0" collapsed="false">
      <c r="A24" s="6" t="s">
        <v>164</v>
      </c>
      <c r="B24" s="8" t="str">
        <f aca="false">IF(B21&gt;0.85,"NGHI NGỜ — rà soát chi phí chưa ghi nhận","OK")</f>
        <v>OK</v>
      </c>
    </row>
    <row r="25" customFormat="false" ht="15.75" hidden="false" customHeight="true" outlineLevel="0" collapsed="false">
      <c r="A25" s="6" t="s">
        <v>165</v>
      </c>
      <c r="B25" s="8" t="str">
        <f aca="false">IF(OR(NOT(ISNUMBER(B19)),B19&lt;=0),"THIẾU DỮ LIỆU GIÁ",IF(B19&lt;B7,"XEM LẠI — DƯỚI GIÁ SÀN",IF(MAX(B13,B16)&lt;=0,"CHƯA ĐỦ DỮ LIỆU XÁC ĐỊNH GIÁ TRẦN",IF(B19&lt;=MAX(B13,B16),"OK — TRONG VÙNG GIÁ","XEM LẠI — VƯỢT GIÁ TRẦN"))))</f>
        <v>CHƯA ĐỦ DỮ LIỆU XÁC ĐỊNH GIÁ TRẦN</v>
      </c>
    </row>
    <row r="26" customFormat="false" ht="15.75" hidden="false" customHeight="true" outlineLevel="0" collapsed="false"/>
    <row r="27" customFormat="false" ht="15.75" hidden="false" customHeight="true" outlineLevel="0" collapsed="false">
      <c r="A27" s="7" t="s">
        <v>166</v>
      </c>
      <c r="B27" s="10"/>
      <c r="C27" s="10"/>
      <c r="D27" s="10"/>
      <c r="E27" s="10"/>
      <c r="F27" s="10"/>
      <c r="G27" s="10"/>
      <c r="H27" s="10"/>
    </row>
    <row r="28" customFormat="false" ht="15.75" hidden="false" customHeight="true" outlineLevel="0" collapsed="false">
      <c r="A28" s="3" t="s">
        <v>167</v>
      </c>
    </row>
    <row r="29" customFormat="false" ht="15.75" hidden="false" customHeight="true" outlineLevel="0" collapsed="false">
      <c r="A29" s="6" t="s">
        <v>168</v>
      </c>
      <c r="B29" s="20" t="n">
        <f aca="false">'1_Cost_Job'!B62+'1_Cost_Job'!B63</f>
        <v>1.09456</v>
      </c>
    </row>
    <row r="30" customFormat="false" ht="15.75" hidden="false" customHeight="true" outlineLevel="0" collapsed="false">
      <c r="A30" s="6" t="s">
        <v>169</v>
      </c>
      <c r="B30" s="20" t="n">
        <f aca="false">'4_Channel_Fit'!B5</f>
        <v>4.99</v>
      </c>
    </row>
    <row r="31" customFormat="false" ht="15.75" hidden="false" customHeight="true" outlineLevel="0" collapsed="false">
      <c r="A31" s="6" t="s">
        <v>170</v>
      </c>
      <c r="B31" s="20" t="n">
        <f aca="false">'1_Cost_Job'!B9</f>
        <v>4</v>
      </c>
    </row>
    <row r="32" customFormat="false" ht="15.75" hidden="false" customHeight="true" outlineLevel="0" collapsed="false">
      <c r="A32" s="6" t="s">
        <v>171</v>
      </c>
      <c r="B32" s="16" t="n">
        <f aca="false">'1_Cost_Job'!B11</f>
        <v>3.4</v>
      </c>
    </row>
    <row r="33" customFormat="false" ht="15.75" hidden="false" customHeight="true" outlineLevel="0" collapsed="false">
      <c r="A33" s="12" t="s">
        <v>172</v>
      </c>
      <c r="B33" s="31" t="n">
        <f aca="false">'1_Cost_Job'!B12</f>
        <v>0.6</v>
      </c>
      <c r="D33" s="3"/>
    </row>
    <row r="34" customFormat="false" ht="15.75" hidden="false" customHeight="true" outlineLevel="0" collapsed="false">
      <c r="A34" s="6" t="s">
        <v>173</v>
      </c>
      <c r="B34" s="33" t="str">
        <f aca="false">"At current inputs, infrastructure above $"&amp;TEXT(B53,"0.00000")&amp;"/credit lowers GM below 60%; at $"&amp;TEXT(B52,"0.00")&amp;"/credit, stress GM is "&amp;TEXT(D52,"0.00%")&amp;". Zero-direct-GM infrastructure threshold is $"&amp;TEXT(B59,"0.00000")&amp;"/credit with other costs fixed. Total direct COGS break-even is $"&amp;TEXT(B58,"0.00000")&amp;"/credit. GM below 60% is not net loss."</f>
        <v>At current inputs, infrastructure above $0.47536/credit lowers GM below 60%; at $0.50/credit, stress GM is 58.02%. Zero-direct-GM infrastructure threshold is $1.22386/credit with other costs fixed. Total direct COGS break-even is $1.24750/credit. GM below 60% is not net loss.</v>
      </c>
      <c r="D34" s="0" t="s">
        <v>174</v>
      </c>
    </row>
    <row r="35" customFormat="false" ht="15.75" hidden="false" customHeight="true" outlineLevel="0" collapsed="false">
      <c r="A35" s="6" t="s">
        <v>175</v>
      </c>
      <c r="B35" s="8" t="str">
        <f aca="false">IF(B21&gt;=0.6,"PASS — under current cost assumptions","FAIL — price/usage/cost needs revision")</f>
        <v>PASS — under current cost assumptions</v>
      </c>
    </row>
    <row r="36" customFormat="false" ht="15.75" hidden="false" customHeight="true" outlineLevel="0" collapsed="false"/>
    <row r="37" customFormat="false" ht="15.75" hidden="false" customHeight="true" outlineLevel="0" collapsed="false">
      <c r="A37" s="7" t="s">
        <v>176</v>
      </c>
      <c r="B37" s="10"/>
      <c r="C37" s="10"/>
      <c r="D37" s="10"/>
      <c r="E37" s="10"/>
      <c r="F37" s="10"/>
      <c r="G37" s="10"/>
      <c r="H37" s="10"/>
    </row>
    <row r="38" customFormat="false" ht="15.75" hidden="false" customHeight="true" outlineLevel="0" collapsed="false">
      <c r="A38" s="27" t="s">
        <v>177</v>
      </c>
      <c r="B38" s="27" t="s">
        <v>178</v>
      </c>
      <c r="C38" s="27" t="s">
        <v>179</v>
      </c>
      <c r="D38" s="27" t="s">
        <v>180</v>
      </c>
      <c r="E38" s="27" t="s">
        <v>181</v>
      </c>
      <c r="F38" s="27" t="s">
        <v>182</v>
      </c>
      <c r="G38" s="27" t="s">
        <v>183</v>
      </c>
      <c r="H38" s="27" t="s">
        <v>184</v>
      </c>
    </row>
    <row r="39" customFormat="false" ht="15.75" hidden="false" customHeight="true" outlineLevel="0" collapsed="false">
      <c r="A39" s="34" t="n">
        <v>0.5</v>
      </c>
      <c r="B39" s="24" t="n">
        <f aca="false">'1_Cost_Job'!$B$9*A39</f>
        <v>2</v>
      </c>
      <c r="C39" s="28" t="n">
        <f aca="false">$B$29</f>
        <v>1.09456</v>
      </c>
      <c r="D39" s="8" t="n">
        <f aca="false">IF(B39=0,0,C39/B39)</f>
        <v>0.54728</v>
      </c>
      <c r="E39" s="28" t="n">
        <f aca="false">IF(B39=0,0,$B$30/B39)</f>
        <v>2.495</v>
      </c>
      <c r="F39" s="28" t="n">
        <f aca="false">IF($B$30=0,0,1-$B$29/$B$30)</f>
        <v>0.780649298597195</v>
      </c>
      <c r="G39" s="24" t="n">
        <f aca="false">'1_Cost_Job'!$B$9-B39</f>
        <v>2</v>
      </c>
      <c r="H39" s="28" t="n">
        <f aca="false">1-A39^'1_Cost_Job'!$B$9</f>
        <v>0.9375</v>
      </c>
    </row>
    <row r="40" customFormat="false" ht="15.75" hidden="false" customHeight="true" outlineLevel="0" collapsed="false">
      <c r="A40" s="34" t="n">
        <v>0.6</v>
      </c>
      <c r="B40" s="24" t="n">
        <f aca="false">'1_Cost_Job'!$B$9*A40</f>
        <v>2.4</v>
      </c>
      <c r="C40" s="28" t="n">
        <f aca="false">$B$29</f>
        <v>1.09456</v>
      </c>
      <c r="D40" s="8" t="n">
        <f aca="false">IF(B40=0,0,C40/B40)</f>
        <v>0.456066666666667</v>
      </c>
      <c r="E40" s="28" t="n">
        <f aca="false">IF(B40=0,0,$B$30/B40)</f>
        <v>2.07916666666667</v>
      </c>
      <c r="F40" s="28" t="n">
        <f aca="false">IF($B$30=0,0,1-$B$29/$B$30)</f>
        <v>0.780649298597195</v>
      </c>
      <c r="G40" s="24" t="n">
        <f aca="false">'1_Cost_Job'!$B$9-B40</f>
        <v>1.6</v>
      </c>
      <c r="H40" s="28" t="n">
        <f aca="false">1-A40^'1_Cost_Job'!$B$9</f>
        <v>0.8704</v>
      </c>
    </row>
    <row r="41" customFormat="false" ht="15.75" hidden="false" customHeight="true" outlineLevel="0" collapsed="false">
      <c r="A41" s="34" t="n">
        <v>0.7</v>
      </c>
      <c r="B41" s="24" t="n">
        <f aca="false">'1_Cost_Job'!$B$9*A41</f>
        <v>2.8</v>
      </c>
      <c r="C41" s="28" t="n">
        <f aca="false">$B$29</f>
        <v>1.09456</v>
      </c>
      <c r="D41" s="8" t="n">
        <f aca="false">IF(B41=0,0,C41/B41)</f>
        <v>0.390914285714286</v>
      </c>
      <c r="E41" s="28" t="n">
        <f aca="false">IF(B41=0,0,$B$30/B41)</f>
        <v>1.78214285714286</v>
      </c>
      <c r="F41" s="28" t="n">
        <f aca="false">IF($B$30=0,0,1-$B$29/$B$30)</f>
        <v>0.780649298597195</v>
      </c>
      <c r="G41" s="24" t="n">
        <f aca="false">'1_Cost_Job'!$B$9-B41</f>
        <v>1.2</v>
      </c>
      <c r="H41" s="28" t="n">
        <f aca="false">1-A41^'1_Cost_Job'!$B$9</f>
        <v>0.7599</v>
      </c>
    </row>
    <row r="42" customFormat="false" ht="15.75" hidden="false" customHeight="true" outlineLevel="0" collapsed="false">
      <c r="A42" s="34" t="n">
        <v>0.8</v>
      </c>
      <c r="B42" s="24" t="n">
        <f aca="false">'1_Cost_Job'!$B$9*A42</f>
        <v>3.2</v>
      </c>
      <c r="C42" s="28" t="n">
        <f aca="false">$B$29</f>
        <v>1.09456</v>
      </c>
      <c r="D42" s="8" t="n">
        <f aca="false">IF(B42=0,0,C42/B42)</f>
        <v>0.34205</v>
      </c>
      <c r="E42" s="28" t="n">
        <f aca="false">IF(B42=0,0,$B$30/B42)</f>
        <v>1.559375</v>
      </c>
      <c r="F42" s="28" t="n">
        <f aca="false">IF($B$30=0,0,1-$B$29/$B$30)</f>
        <v>0.780649298597195</v>
      </c>
      <c r="G42" s="24" t="n">
        <f aca="false">'1_Cost_Job'!$B$9-B42</f>
        <v>0.8</v>
      </c>
      <c r="H42" s="28" t="n">
        <f aca="false">1-A42^'1_Cost_Job'!$B$9</f>
        <v>0.5904</v>
      </c>
    </row>
    <row r="43" customFormat="false" ht="15.75" hidden="false" customHeight="true" outlineLevel="0" collapsed="false">
      <c r="A43" s="34" t="n">
        <v>0.85</v>
      </c>
      <c r="B43" s="24" t="n">
        <f aca="false">'1_Cost_Job'!$B$9*A43</f>
        <v>3.4</v>
      </c>
      <c r="C43" s="28" t="n">
        <f aca="false">$B$29</f>
        <v>1.09456</v>
      </c>
      <c r="D43" s="8" t="n">
        <f aca="false">IF(B43=0,0,C43/B43)</f>
        <v>0.321929411764706</v>
      </c>
      <c r="E43" s="28" t="n">
        <f aca="false">IF(B43=0,0,$B$30/B43)</f>
        <v>1.46764705882353</v>
      </c>
      <c r="F43" s="28" t="n">
        <f aca="false">IF($B$30=0,0,1-$B$29/$B$30)</f>
        <v>0.780649298597195</v>
      </c>
      <c r="G43" s="24" t="n">
        <f aca="false">'1_Cost_Job'!$B$9-B43</f>
        <v>0.6</v>
      </c>
      <c r="H43" s="28" t="n">
        <f aca="false">1-A43^'1_Cost_Job'!$B$9</f>
        <v>0.47799375</v>
      </c>
    </row>
    <row r="44" customFormat="false" ht="15.75" hidden="false" customHeight="true" outlineLevel="0" collapsed="false">
      <c r="A44" s="34" t="n">
        <v>0.9</v>
      </c>
      <c r="B44" s="24" t="n">
        <f aca="false">'1_Cost_Job'!$B$9*A44</f>
        <v>3.6</v>
      </c>
      <c r="C44" s="28" t="n">
        <f aca="false">$B$29</f>
        <v>1.09456</v>
      </c>
      <c r="D44" s="8" t="n">
        <f aca="false">IF(B44=0,0,C44/B44)</f>
        <v>0.304044444444444</v>
      </c>
      <c r="E44" s="28" t="n">
        <f aca="false">IF(B44=0,0,$B$30/B44)</f>
        <v>1.38611111111111</v>
      </c>
      <c r="F44" s="28" t="n">
        <f aca="false">IF($B$30=0,0,1-$B$29/$B$30)</f>
        <v>0.780649298597195</v>
      </c>
      <c r="G44" s="24" t="n">
        <f aca="false">'1_Cost_Job'!$B$9-B44</f>
        <v>0.4</v>
      </c>
      <c r="H44" s="28" t="n">
        <f aca="false">1-A44^'1_Cost_Job'!$B$9</f>
        <v>0.3439</v>
      </c>
    </row>
    <row r="45" customFormat="false" ht="15.75" hidden="false" customHeight="true" outlineLevel="0" collapsed="false"/>
    <row r="46" customFormat="false" ht="15.75" hidden="false" customHeight="true" outlineLevel="0" collapsed="false">
      <c r="A46" s="3" t="s">
        <v>185</v>
      </c>
    </row>
    <row r="47" customFormat="false" ht="15.75" hidden="false" customHeight="true" outlineLevel="0" collapsed="false"/>
    <row r="48" customFormat="false" ht="15.75" hidden="false" customHeight="true" outlineLevel="0" collapsed="false">
      <c r="A48" s="7" t="s">
        <v>186</v>
      </c>
      <c r="B48" s="10"/>
      <c r="C48" s="10"/>
      <c r="D48" s="10"/>
      <c r="E48" s="10"/>
      <c r="F48" s="10" t="s">
        <v>187</v>
      </c>
      <c r="G48" s="10" t="s">
        <v>188</v>
      </c>
      <c r="H48" s="10" t="s">
        <v>189</v>
      </c>
    </row>
    <row r="49" customFormat="false" ht="15.75" hidden="false" customHeight="true" outlineLevel="0" collapsed="false">
      <c r="A49" s="12" t="s">
        <v>190</v>
      </c>
      <c r="B49" s="23" t="s">
        <v>191</v>
      </c>
      <c r="C49" s="27" t="s">
        <v>192</v>
      </c>
      <c r="D49" s="27" t="s">
        <v>193</v>
      </c>
      <c r="F49" s="34" t="s">
        <v>194</v>
      </c>
      <c r="G49" s="34" t="s">
        <v>195</v>
      </c>
      <c r="H49" s="34" t="s">
        <v>196</v>
      </c>
    </row>
    <row r="50" customFormat="false" ht="15.75" hidden="false" customHeight="true" outlineLevel="0" collapsed="false">
      <c r="A50" s="12" t="s">
        <v>197</v>
      </c>
      <c r="B50" s="23" t="n">
        <v>0.05</v>
      </c>
      <c r="C50" s="28" t="n">
        <f aca="false">'1_Cost_Job'!$B$9*('1_Cost_Job'!$B$31+'1_Cost_Job'!$B$38+B50+'1_Cost_Job'!$B$47+'1_Cost_Job'!$B$54/'1_Cost_Job'!$B$9)</f>
        <v>0.29456</v>
      </c>
      <c r="D50" s="28" t="n">
        <f aca="false">1-C50/$B$30</f>
        <v>0.94096993987976</v>
      </c>
      <c r="F50" s="34" t="s">
        <v>198</v>
      </c>
      <c r="G50" s="34" t="s">
        <v>199</v>
      </c>
      <c r="H50" s="34" t="s">
        <v>200</v>
      </c>
    </row>
    <row r="51" customFormat="false" ht="15.75" hidden="false" customHeight="true" outlineLevel="0" collapsed="false">
      <c r="A51" s="12" t="s">
        <v>201</v>
      </c>
      <c r="B51" s="23" t="n">
        <v>0.25</v>
      </c>
      <c r="C51" s="28" t="n">
        <f aca="false">'1_Cost_Job'!$B$9*('1_Cost_Job'!$B$31+'1_Cost_Job'!$B$38+B51+'1_Cost_Job'!$B$47+'1_Cost_Job'!$B$54/'1_Cost_Job'!$B$9)</f>
        <v>1.09456</v>
      </c>
      <c r="D51" s="28" t="n">
        <f aca="false">1-C51/$B$30</f>
        <v>0.780649298597195</v>
      </c>
      <c r="F51" s="34" t="s">
        <v>202</v>
      </c>
      <c r="G51" s="34" t="s">
        <v>203</v>
      </c>
      <c r="H51" s="34" t="s">
        <v>204</v>
      </c>
    </row>
    <row r="52" customFormat="false" ht="15.75" hidden="false" customHeight="true" outlineLevel="0" collapsed="false">
      <c r="A52" s="12" t="s">
        <v>205</v>
      </c>
      <c r="B52" s="31" t="n">
        <v>0.5</v>
      </c>
      <c r="C52" s="28" t="n">
        <f aca="false">'1_Cost_Job'!$B$9*('1_Cost_Job'!$B$31+'1_Cost_Job'!$B$38+B52+'1_Cost_Job'!$B$47+'1_Cost_Job'!$B$54/'1_Cost_Job'!$B$9)</f>
        <v>2.09456</v>
      </c>
      <c r="D52" s="28" t="n">
        <f aca="false">1-C52/$B$30</f>
        <v>0.580248496993988</v>
      </c>
    </row>
    <row r="53" customFormat="false" ht="15.75" hidden="false" customHeight="true" outlineLevel="0" collapsed="false">
      <c r="A53" s="12" t="s">
        <v>206</v>
      </c>
      <c r="B53" s="31" t="n">
        <f aca="false">$B$30*(1-$B$60)/'1_Cost_Job'!$B$9-('1_Cost_Job'!$B$31+'1_Cost_Job'!$B$38+'1_Cost_Job'!$B$47+'1_Cost_Job'!$B$54/'1_Cost_Job'!$B$9)</f>
        <v>0.47536</v>
      </c>
      <c r="C53" s="0" t="s">
        <v>207</v>
      </c>
    </row>
    <row r="54" customFormat="false" ht="15.75" hidden="false" customHeight="true" outlineLevel="0" collapsed="false"/>
    <row r="55" customFormat="false" ht="15.75" hidden="false" customHeight="true" outlineLevel="0" collapsed="false">
      <c r="A55" s="0" t="s">
        <v>208</v>
      </c>
      <c r="B55" s="28" t="n">
        <f aca="false">B30/'1_Cost_Job'!B9</f>
        <v>1.2475</v>
      </c>
      <c r="C55" s="0" t="s">
        <v>209</v>
      </c>
      <c r="D55" s="28" t="n">
        <f aca="false">1-(B29+B55)/B30</f>
        <v>0.530649298597195</v>
      </c>
      <c r="E55" s="0" t="s">
        <v>210</v>
      </c>
    </row>
    <row r="56" customFormat="false" ht="15.75" hidden="false" customHeight="true" outlineLevel="0" collapsed="false"/>
    <row r="57" customFormat="false" ht="15.75" hidden="false" customHeight="true" outlineLevel="0" collapsed="false">
      <c r="A57" s="0" t="s">
        <v>211</v>
      </c>
      <c r="B57" s="35" t="n">
        <f aca="false">B19</f>
        <v>4.99</v>
      </c>
    </row>
    <row r="58" customFormat="false" ht="15.75" hidden="false" customHeight="true" outlineLevel="0" collapsed="false">
      <c r="A58" s="0" t="s">
        <v>212</v>
      </c>
      <c r="B58" s="0" t="n">
        <f aca="false">IF(B31=0,0,B57/B31)</f>
        <v>1.2475</v>
      </c>
    </row>
    <row r="59" customFormat="false" ht="15.75" hidden="false" customHeight="true" outlineLevel="0" collapsed="false">
      <c r="A59" s="0" t="s">
        <v>213</v>
      </c>
      <c r="B59" s="0" t="n">
        <f aca="false">B58-('1_Cost_Job'!B31+'1_Cost_Job'!B38+'1_Cost_Job'!B47+'1_Cost_Job'!B56/'1_Cost_Job'!B9)</f>
        <v>1.22386</v>
      </c>
    </row>
    <row r="60" customFormat="false" ht="15.75" hidden="false" customHeight="true" outlineLevel="0" collapsed="false">
      <c r="A60" s="0" t="s">
        <v>214</v>
      </c>
      <c r="B60" s="0" t="n">
        <v>0.6</v>
      </c>
    </row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72"/>
    <col collapsed="false" customWidth="true" hidden="false" outlineLevel="0" max="2" min="2" style="1" width="12"/>
    <col collapsed="false" customWidth="true" hidden="false" outlineLevel="0" max="3" min="3" style="1" width="50"/>
    <col collapsed="false" customWidth="true" hidden="false" outlineLevel="0" max="4" min="4" style="1" width="46"/>
    <col collapsed="false" customWidth="true" hidden="false" outlineLevel="0" max="8" min="5" style="1" width="15"/>
    <col collapsed="false" customWidth="true" hidden="false" outlineLevel="0" max="26" min="9" style="1" width="8.71"/>
  </cols>
  <sheetData>
    <row r="1" customFormat="false" ht="24" hidden="false" customHeight="true" outlineLevel="0" collapsed="false">
      <c r="A1" s="2" t="s">
        <v>215</v>
      </c>
      <c r="B1" s="3"/>
      <c r="C1" s="3"/>
      <c r="D1" s="3"/>
      <c r="E1" s="3"/>
      <c r="F1" s="3"/>
      <c r="G1" s="3"/>
      <c r="H1" s="3"/>
    </row>
    <row r="2" customFormat="false" ht="15" hidden="false" customHeight="false" outlineLevel="0" collapsed="false">
      <c r="A2" s="4" t="s">
        <v>216</v>
      </c>
    </row>
    <row r="4" customFormat="false" ht="15" hidden="false" customHeight="false" outlineLevel="0" collapsed="false">
      <c r="A4" s="12" t="s">
        <v>217</v>
      </c>
      <c r="B4" s="13"/>
      <c r="C4" s="13"/>
      <c r="D4" s="13"/>
      <c r="E4" s="13"/>
      <c r="F4" s="13"/>
      <c r="G4" s="13"/>
      <c r="H4" s="13"/>
    </row>
    <row r="5" customFormat="false" ht="15" hidden="false" customHeight="false" outlineLevel="0" collapsed="false">
      <c r="A5" s="7" t="s">
        <v>218</v>
      </c>
      <c r="B5" s="18" t="n">
        <v>0</v>
      </c>
    </row>
    <row r="6" customFormat="false" ht="15" hidden="false" customHeight="false" outlineLevel="0" collapsed="false">
      <c r="A6" s="7" t="s">
        <v>219</v>
      </c>
      <c r="B6" s="18" t="n">
        <v>0</v>
      </c>
    </row>
    <row r="7" customFormat="false" ht="15" hidden="false" customHeight="false" outlineLevel="0" collapsed="false">
      <c r="A7" s="7" t="s">
        <v>220</v>
      </c>
      <c r="B7" s="18" t="n">
        <v>0</v>
      </c>
    </row>
    <row r="8" customFormat="false" ht="15" hidden="false" customHeight="false" outlineLevel="0" collapsed="false">
      <c r="A8" s="7" t="s">
        <v>221</v>
      </c>
      <c r="B8" s="18" t="n">
        <v>0</v>
      </c>
    </row>
    <row r="9" customFormat="false" ht="15" hidden="false" customHeight="false" outlineLevel="0" collapsed="false">
      <c r="A9" s="7" t="s">
        <v>222</v>
      </c>
      <c r="B9" s="18" t="n">
        <v>1</v>
      </c>
    </row>
    <row r="10" customFormat="false" ht="15" hidden="false" customHeight="false" outlineLevel="0" collapsed="false">
      <c r="A10" s="11" t="s">
        <v>223</v>
      </c>
      <c r="B10" s="36" t="n">
        <f aca="false">SUM(B5:B9)</f>
        <v>1</v>
      </c>
    </row>
    <row r="12" customFormat="false" ht="15" hidden="false" customHeight="false" outlineLevel="0" collapsed="false">
      <c r="A12" s="12" t="s">
        <v>224</v>
      </c>
      <c r="B12" s="13"/>
      <c r="C12" s="13"/>
      <c r="D12" s="13"/>
      <c r="E12" s="13"/>
      <c r="F12" s="13"/>
      <c r="G12" s="13"/>
      <c r="H12" s="13"/>
    </row>
    <row r="13" customFormat="false" ht="15" hidden="false" customHeight="false" outlineLevel="0" collapsed="false">
      <c r="A13" s="7" t="s">
        <v>225</v>
      </c>
      <c r="B13" s="18" t="n">
        <v>0</v>
      </c>
    </row>
    <row r="14" customFormat="false" ht="15" hidden="false" customHeight="false" outlineLevel="0" collapsed="false">
      <c r="A14" s="7" t="s">
        <v>226</v>
      </c>
      <c r="B14" s="18" t="n">
        <v>0</v>
      </c>
    </row>
    <row r="15" customFormat="false" ht="15" hidden="false" customHeight="false" outlineLevel="0" collapsed="false">
      <c r="A15" s="7" t="s">
        <v>227</v>
      </c>
      <c r="B15" s="18" t="n">
        <v>0</v>
      </c>
    </row>
    <row r="16" customFormat="false" ht="15" hidden="false" customHeight="false" outlineLevel="0" collapsed="false">
      <c r="A16" s="7" t="s">
        <v>228</v>
      </c>
      <c r="B16" s="18" t="n">
        <v>0</v>
      </c>
    </row>
    <row r="17" customFormat="false" ht="15" hidden="false" customHeight="false" outlineLevel="0" collapsed="false">
      <c r="A17" s="7" t="s">
        <v>229</v>
      </c>
      <c r="B17" s="18" t="n">
        <v>0</v>
      </c>
    </row>
    <row r="18" customFormat="false" ht="15" hidden="false" customHeight="false" outlineLevel="0" collapsed="false">
      <c r="A18" s="11" t="s">
        <v>230</v>
      </c>
      <c r="B18" s="36" t="n">
        <f aca="false">SUM(B13:B17)</f>
        <v>0</v>
      </c>
    </row>
    <row r="20" customFormat="false" ht="15" hidden="false" customHeight="false" outlineLevel="0" collapsed="false">
      <c r="A20" s="12" t="s">
        <v>231</v>
      </c>
      <c r="B20" s="13"/>
      <c r="C20" s="13"/>
      <c r="D20" s="13"/>
      <c r="E20" s="13"/>
      <c r="F20" s="13"/>
      <c r="G20" s="13"/>
      <c r="H20" s="13"/>
    </row>
    <row r="21" customFormat="false" ht="15.75" hidden="false" customHeight="true" outlineLevel="0" collapsed="false">
      <c r="A21" s="11" t="s">
        <v>232</v>
      </c>
      <c r="B21" s="37" t="str">
        <f aca="false">IF(AND(B10&gt;=7,B18&gt;=7),"OUTCOME",IF(AND(B10&gt;=7,B18&lt;7),"USAGE",IF(AND(B10&lt;7,B18&gt;=7),"USAGE (an toàn)","SEAT hoặc HYBRID")))</f>
        <v>SEAT hoặc HYBRID</v>
      </c>
    </row>
    <row r="22" customFormat="false" ht="15.75" hidden="false" customHeight="true" outlineLevel="0" collapsed="false">
      <c r="A22" s="4" t="s">
        <v>233</v>
      </c>
    </row>
    <row r="23" customFormat="false" ht="15.75" hidden="false" customHeight="true" outlineLevel="0" collapsed="false"/>
    <row r="24" customFormat="false" ht="15.75" hidden="false" customHeight="true" outlineLevel="0" collapsed="false">
      <c r="A24" s="12" t="s">
        <v>234</v>
      </c>
      <c r="B24" s="13"/>
      <c r="C24" s="13"/>
      <c r="D24" s="13"/>
      <c r="E24" s="13"/>
      <c r="F24" s="13"/>
      <c r="G24" s="13"/>
      <c r="H24" s="13"/>
    </row>
    <row r="25" customFormat="false" ht="15.75" hidden="false" customHeight="true" outlineLevel="0" collapsed="false">
      <c r="A25" s="38" t="s">
        <v>235</v>
      </c>
      <c r="B25" s="38" t="s">
        <v>236</v>
      </c>
      <c r="C25" s="38" t="s">
        <v>237</v>
      </c>
      <c r="D25" s="38" t="s">
        <v>238</v>
      </c>
    </row>
    <row r="26" customFormat="false" ht="15.75" hidden="false" customHeight="true" outlineLevel="0" collapsed="false">
      <c r="A26" s="6" t="s">
        <v>239</v>
      </c>
      <c r="B26" s="6" t="s">
        <v>236</v>
      </c>
      <c r="C26" s="6" t="s">
        <v>240</v>
      </c>
      <c r="D26" s="6" t="s">
        <v>241</v>
      </c>
    </row>
    <row r="27" customFormat="false" ht="15.75" hidden="false" customHeight="true" outlineLevel="0" collapsed="false">
      <c r="A27" s="6"/>
      <c r="B27" s="6"/>
      <c r="C27" s="6"/>
      <c r="D27" s="6"/>
    </row>
    <row r="28" customFormat="false" ht="15.75" hidden="false" customHeight="true" outlineLevel="0" collapsed="false"/>
    <row r="29" customFormat="false" ht="15.75" hidden="false" customHeight="true" outlineLevel="0" collapsed="false">
      <c r="A29" s="12" t="s">
        <v>242</v>
      </c>
      <c r="B29" s="13"/>
      <c r="C29" s="13"/>
      <c r="D29" s="13"/>
      <c r="E29" s="13"/>
      <c r="F29" s="13"/>
      <c r="G29" s="13"/>
      <c r="H29" s="13"/>
    </row>
    <row r="30" customFormat="false" ht="36" hidden="false" customHeight="true" outlineLevel="0" collapsed="false">
      <c r="A30" s="7" t="s">
        <v>243</v>
      </c>
      <c r="B30" s="33" t="s">
        <v>244</v>
      </c>
    </row>
    <row r="31" customFormat="false" ht="36" hidden="false" customHeight="true" outlineLevel="0" collapsed="false">
      <c r="A31" s="7" t="s">
        <v>245</v>
      </c>
      <c r="B31" s="33" t="s">
        <v>246</v>
      </c>
    </row>
    <row r="32" customFormat="false" ht="36" hidden="false" customHeight="true" outlineLevel="0" collapsed="false">
      <c r="A32" s="7" t="s">
        <v>247</v>
      </c>
      <c r="B32" s="33" t="s">
        <v>248</v>
      </c>
    </row>
    <row r="33" customFormat="false" ht="36" hidden="false" customHeight="true" outlineLevel="0" collapsed="false">
      <c r="A33" s="7" t="s">
        <v>249</v>
      </c>
      <c r="B33" s="33" t="s">
        <v>250</v>
      </c>
    </row>
    <row r="34" customFormat="false" ht="36" hidden="false" customHeight="true" outlineLevel="0" collapsed="false">
      <c r="A34" s="7" t="s">
        <v>251</v>
      </c>
      <c r="B34" s="33" t="str">
        <f aca="false">'2_Pricing'!B34</f>
        <v>At current inputs, infrastructure above $0.47536/credit lowers GM below 60%; at $0.50/credit, stress GM is 58.02%. Zero-direct-GM infrastructure threshold is $1.22386/credit with other costs fixed. Total direct COGS break-even is $1.24750/credit. GM below 60% is not net loss.</v>
      </c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50"/>
    <col collapsed="false" customWidth="true" hidden="false" outlineLevel="0" max="26" min="9" style="1" width="8.71"/>
  </cols>
  <sheetData>
    <row r="1" customFormat="false" ht="24" hidden="false" customHeight="true" outlineLevel="0" collapsed="false">
      <c r="A1" s="2" t="s">
        <v>252</v>
      </c>
      <c r="B1" s="3"/>
      <c r="C1" s="3"/>
      <c r="D1" s="3"/>
      <c r="E1" s="3"/>
      <c r="F1" s="3"/>
      <c r="G1" s="3"/>
      <c r="H1" s="3"/>
    </row>
    <row r="2" customFormat="false" ht="15" hidden="false" customHeight="false" outlineLevel="0" collapsed="false">
      <c r="A2" s="4" t="s">
        <v>253</v>
      </c>
    </row>
    <row r="4" customFormat="false" ht="15" hidden="false" customHeight="false" outlineLevel="0" collapsed="false">
      <c r="A4" s="12" t="s">
        <v>254</v>
      </c>
      <c r="B4" s="13"/>
      <c r="C4" s="13"/>
      <c r="D4" s="13"/>
      <c r="E4" s="13"/>
      <c r="F4" s="13"/>
      <c r="G4" s="13"/>
      <c r="H4" s="13"/>
    </row>
    <row r="5" customFormat="false" ht="15" hidden="false" customHeight="false" outlineLevel="0" collapsed="false">
      <c r="A5" s="7" t="s">
        <v>255</v>
      </c>
      <c r="B5" s="39" t="n">
        <v>4.99</v>
      </c>
    </row>
    <row r="6" customFormat="false" ht="15" hidden="false" customHeight="false" outlineLevel="0" collapsed="false">
      <c r="A6" s="7" t="s">
        <v>256</v>
      </c>
      <c r="B6" s="34" t="n">
        <f aca="false">'2_Pricing'!B21</f>
        <v>0.780649298597195</v>
      </c>
    </row>
    <row r="7" customFormat="false" ht="15" hidden="false" customHeight="false" outlineLevel="0" collapsed="false">
      <c r="A7" s="7" t="s">
        <v>257</v>
      </c>
      <c r="B7" s="18" t="s">
        <v>258</v>
      </c>
      <c r="D7" s="1" t="s">
        <v>259</v>
      </c>
    </row>
    <row r="8" customFormat="false" ht="15" hidden="false" customHeight="false" outlineLevel="0" collapsed="false">
      <c r="A8" s="7" t="s">
        <v>260</v>
      </c>
      <c r="B8" s="40" t="n">
        <f aca="false">IF(B7="B2C",3,IF(B7="SMB",12,IF(B7="Mid",18,24)))</f>
        <v>3</v>
      </c>
      <c r="C8" s="4" t="s">
        <v>261</v>
      </c>
      <c r="D8" s="4" t="s">
        <v>262</v>
      </c>
    </row>
    <row r="9" customFormat="false" ht="15" hidden="false" customHeight="false" outlineLevel="0" collapsed="false">
      <c r="A9" s="11" t="s">
        <v>263</v>
      </c>
      <c r="B9" s="41" t="n">
        <f aca="false">B5*B6*B8</f>
        <v>11.68632</v>
      </c>
      <c r="D9" s="4" t="s">
        <v>264</v>
      </c>
    </row>
    <row r="10" customFormat="false" ht="15" hidden="false" customHeight="false" outlineLevel="0" collapsed="false">
      <c r="A10" s="7" t="s">
        <v>265</v>
      </c>
      <c r="B10" s="42" t="n">
        <f aca="false">B5*12</f>
        <v>59.88</v>
      </c>
    </row>
    <row r="12" customFormat="false" ht="15" hidden="false" customHeight="false" outlineLevel="0" collapsed="false">
      <c r="A12" s="12" t="s">
        <v>266</v>
      </c>
      <c r="B12" s="13"/>
      <c r="C12" s="13"/>
      <c r="D12" s="13"/>
      <c r="E12" s="13"/>
      <c r="F12" s="13"/>
      <c r="G12" s="13"/>
      <c r="H12" s="13"/>
    </row>
    <row r="13" customFormat="false" ht="15" hidden="false" customHeight="false" outlineLevel="0" collapsed="false">
      <c r="A13" s="7" t="s">
        <v>267</v>
      </c>
      <c r="B13" s="43" t="n">
        <v>500000</v>
      </c>
      <c r="D13" s="4" t="s">
        <v>268</v>
      </c>
    </row>
    <row r="14" customFormat="false" ht="15" hidden="false" customHeight="false" outlineLevel="0" collapsed="false">
      <c r="A14" s="7" t="s">
        <v>269</v>
      </c>
      <c r="B14" s="19" t="n">
        <v>250</v>
      </c>
      <c r="C14" s="4" t="s">
        <v>270</v>
      </c>
    </row>
    <row r="15" customFormat="false" ht="15" hidden="false" customHeight="false" outlineLevel="0" collapsed="false">
      <c r="A15" s="7" t="s">
        <v>271</v>
      </c>
      <c r="B15" s="40" t="n">
        <f aca="false">IF(B10=0,0,B13/B10)</f>
        <v>8350.0334001336</v>
      </c>
    </row>
    <row r="16" customFormat="false" ht="15" hidden="false" customHeight="false" outlineLevel="0" collapsed="false">
      <c r="A16" s="11" t="s">
        <v>272</v>
      </c>
      <c r="B16" s="44" t="n">
        <f aca="false">IF(B14=0,0,B15/B14)</f>
        <v>33.4001336005344</v>
      </c>
      <c r="C16" s="4" t="s">
        <v>273</v>
      </c>
    </row>
    <row r="17" customFormat="false" ht="15" hidden="false" customHeight="false" outlineLevel="0" collapsed="false">
      <c r="A17" s="7" t="s">
        <v>274</v>
      </c>
      <c r="B17" s="8" t="str">
        <f aca="false">IF(B16&lt;=1,"KHẢ THI về mặt số học","BẤT KHẢ THI — ACV quá thấp để nuôi sales rep")</f>
        <v>BẤT KHẢ THI — ACV quá thấp để nuôi sales rep</v>
      </c>
    </row>
    <row r="19" customFormat="false" ht="15" hidden="false" customHeight="false" outlineLevel="0" collapsed="false">
      <c r="A19" s="12" t="s">
        <v>275</v>
      </c>
      <c r="B19" s="13"/>
      <c r="C19" s="13"/>
      <c r="D19" s="13"/>
      <c r="E19" s="13"/>
      <c r="F19" s="13"/>
      <c r="G19" s="13"/>
      <c r="H19" s="13"/>
    </row>
    <row r="20" customFormat="false" ht="15" hidden="false" customHeight="false" outlineLevel="0" collapsed="false">
      <c r="A20" s="7" t="s">
        <v>276</v>
      </c>
      <c r="B20" s="43" t="n">
        <v>8000</v>
      </c>
      <c r="D20" s="4" t="s">
        <v>277</v>
      </c>
    </row>
    <row r="21" customFormat="false" ht="15.75" hidden="false" customHeight="true" outlineLevel="0" collapsed="false">
      <c r="A21" s="7" t="s">
        <v>278</v>
      </c>
      <c r="B21" s="20" t="n">
        <v>0.25</v>
      </c>
      <c r="D21" s="1" t="s">
        <v>279</v>
      </c>
    </row>
    <row r="22" customFormat="false" ht="15.75" hidden="false" customHeight="true" outlineLevel="0" collapsed="false">
      <c r="A22" s="7" t="s">
        <v>280</v>
      </c>
      <c r="B22" s="45" t="n">
        <f aca="false">IF(B21=0,0,B20/B21)</f>
        <v>32000</v>
      </c>
    </row>
    <row r="23" customFormat="false" ht="15.75" hidden="false" customHeight="true" outlineLevel="0" collapsed="false">
      <c r="A23" s="11" t="s">
        <v>281</v>
      </c>
      <c r="B23" s="46" t="n">
        <f aca="false">IF(B9=0,0,B22/B9)</f>
        <v>2738.24437461921</v>
      </c>
      <c r="D23" s="4" t="s">
        <v>282</v>
      </c>
    </row>
    <row r="24" customFormat="false" ht="15.75" hidden="false" customHeight="true" outlineLevel="0" collapsed="false">
      <c r="A24" s="7" t="s">
        <v>283</v>
      </c>
      <c r="B24" s="8" t="str">
        <f aca="false">IF(B23&lt;=1,"Motion có sales KHẢ THI",IF(B23&lt;=3,"Căng — cần tăng giá hoặc giảm chi phí bán hàng","KHÔNG KHẢ THI — đi PLG hoặc Partner-Led"))</f>
        <v>KHÔNG KHẢ THI — đi PLG hoặc Partner-Led</v>
      </c>
    </row>
    <row r="25" customFormat="false" ht="15.75" hidden="false" customHeight="true" outlineLevel="0" collapsed="false"/>
    <row r="26" customFormat="false" ht="15.75" hidden="false" customHeight="true" outlineLevel="0" collapsed="false">
      <c r="A26" s="12" t="s">
        <v>284</v>
      </c>
      <c r="B26" s="13"/>
      <c r="C26" s="13"/>
      <c r="D26" s="13"/>
      <c r="E26" s="13"/>
      <c r="F26" s="13"/>
      <c r="G26" s="13"/>
      <c r="H26" s="13"/>
    </row>
    <row r="27" customFormat="false" ht="15.75" hidden="false" customHeight="true" outlineLevel="0" collapsed="false">
      <c r="A27" s="38" t="s">
        <v>285</v>
      </c>
      <c r="B27" s="38" t="s">
        <v>286</v>
      </c>
      <c r="C27" s="38" t="s">
        <v>287</v>
      </c>
      <c r="D27" s="38" t="s">
        <v>288</v>
      </c>
    </row>
    <row r="28" customFormat="false" ht="15.75" hidden="false" customHeight="true" outlineLevel="0" collapsed="false">
      <c r="A28" s="7" t="s">
        <v>289</v>
      </c>
      <c r="B28" s="18" t="n">
        <v>1</v>
      </c>
      <c r="C28" s="18" t="n">
        <v>1</v>
      </c>
      <c r="D28" s="18" t="n">
        <v>2</v>
      </c>
      <c r="E28" s="1" t="s">
        <v>290</v>
      </c>
    </row>
    <row r="29" customFormat="false" ht="15.75" hidden="false" customHeight="true" outlineLevel="0" collapsed="false">
      <c r="A29" s="7" t="s">
        <v>291</v>
      </c>
      <c r="B29" s="18" t="n">
        <v>2</v>
      </c>
      <c r="C29" s="18" t="n">
        <v>1</v>
      </c>
      <c r="D29" s="18" t="n">
        <v>1</v>
      </c>
      <c r="E29" s="1" t="s">
        <v>292</v>
      </c>
    </row>
    <row r="30" customFormat="false" ht="15.75" hidden="false" customHeight="true" outlineLevel="0" collapsed="false">
      <c r="A30" s="7" t="s">
        <v>293</v>
      </c>
      <c r="B30" s="18" t="n">
        <v>3</v>
      </c>
      <c r="C30" s="18" t="n">
        <v>1</v>
      </c>
      <c r="D30" s="18" t="n">
        <v>1</v>
      </c>
    </row>
    <row r="31" customFormat="false" ht="15.75" hidden="false" customHeight="true" outlineLevel="0" collapsed="false">
      <c r="A31" s="7" t="s">
        <v>294</v>
      </c>
      <c r="B31" s="18" t="n">
        <v>2</v>
      </c>
      <c r="C31" s="18" t="n">
        <v>1</v>
      </c>
      <c r="D31" s="18" t="n">
        <v>1</v>
      </c>
    </row>
    <row r="32" customFormat="false" ht="15.75" hidden="false" customHeight="true" outlineLevel="0" collapsed="false">
      <c r="A32" s="7" t="s">
        <v>295</v>
      </c>
      <c r="B32" s="18" t="n">
        <v>2</v>
      </c>
      <c r="C32" s="18" t="n">
        <v>1</v>
      </c>
      <c r="D32" s="18" t="n">
        <v>2</v>
      </c>
      <c r="E32" s="1" t="s">
        <v>296</v>
      </c>
    </row>
    <row r="33" customFormat="false" ht="15.75" hidden="false" customHeight="true" outlineLevel="0" collapsed="false">
      <c r="A33" s="7" t="s">
        <v>297</v>
      </c>
      <c r="B33" s="18" t="n">
        <v>4</v>
      </c>
      <c r="C33" s="18" t="n">
        <v>2</v>
      </c>
      <c r="D33" s="18" t="n">
        <v>2</v>
      </c>
    </row>
    <row r="34" customFormat="false" ht="15.75" hidden="false" customHeight="true" outlineLevel="0" collapsed="false">
      <c r="A34" s="11" t="s">
        <v>298</v>
      </c>
      <c r="B34" s="37" t="n">
        <f aca="false">SUM(B28:B33)</f>
        <v>14</v>
      </c>
      <c r="C34" s="37" t="n">
        <f aca="false">SUM(C28:C33)</f>
        <v>7</v>
      </c>
      <c r="D34" s="37" t="n">
        <f aca="false">SUM(D28:D33)</f>
        <v>9</v>
      </c>
    </row>
    <row r="35" customFormat="false" ht="15.75" hidden="false" customHeight="true" outlineLevel="0" collapsed="false">
      <c r="A35" s="11" t="s">
        <v>299</v>
      </c>
      <c r="B35" s="37" t="str">
        <f aca="false">IF(AND(B34&gt;=C34,B34&gt;=D34),"PLG",IF(C34&gt;=D34,"Sales-Led","Partner-Led"))</f>
        <v>PLG</v>
      </c>
    </row>
    <row r="36" customFormat="false" ht="15.75" hidden="false" customHeight="true" outlineLevel="0" collapsed="false"/>
    <row r="37" customFormat="false" ht="15.75" hidden="false" customHeight="true" outlineLevel="0" collapsed="false">
      <c r="A37" s="12" t="s">
        <v>300</v>
      </c>
      <c r="B37" s="13"/>
      <c r="C37" s="13"/>
      <c r="D37" s="13"/>
      <c r="E37" s="13"/>
      <c r="F37" s="13"/>
      <c r="G37" s="13"/>
      <c r="H37" s="13"/>
    </row>
    <row r="38" customFormat="false" ht="15.75" hidden="false" customHeight="true" outlineLevel="0" collapsed="false">
      <c r="A38" s="7" t="s">
        <v>301</v>
      </c>
      <c r="B38" s="6" t="s">
        <v>302</v>
      </c>
      <c r="D38" s="4" t="s">
        <v>303</v>
      </c>
    </row>
    <row r="39" customFormat="false" ht="15.75" hidden="false" customHeight="true" outlineLevel="0" collapsed="false">
      <c r="A39" s="7" t="s">
        <v>304</v>
      </c>
      <c r="B39" s="6" t="s">
        <v>305</v>
      </c>
      <c r="D39" s="4" t="s">
        <v>306</v>
      </c>
    </row>
    <row r="40" customFormat="false" ht="15.75" hidden="false" customHeight="true" outlineLevel="0" collapsed="false">
      <c r="A40" s="7" t="s">
        <v>307</v>
      </c>
      <c r="B40" s="6" t="s">
        <v>308</v>
      </c>
    </row>
    <row r="41" customFormat="false" ht="30" hidden="false" customHeight="true" outlineLevel="0" collapsed="false">
      <c r="A41" s="7" t="s">
        <v>309</v>
      </c>
      <c r="B41" s="15" t="s">
        <v>310</v>
      </c>
    </row>
    <row r="42" customFormat="false" ht="30" hidden="false" customHeight="true" outlineLevel="0" collapsed="false">
      <c r="A42" s="7" t="s">
        <v>311</v>
      </c>
      <c r="B42" s="15" t="s">
        <v>312</v>
      </c>
      <c r="D42" s="4" t="s">
        <v>313</v>
      </c>
    </row>
    <row r="43" customFormat="false" ht="15.75" hidden="false" customHeight="true" outlineLevel="0" collapsed="false"/>
    <row r="44" customFormat="false" ht="24" hidden="false" customHeight="true" outlineLevel="0" collapsed="false">
      <c r="A44" s="12" t="s">
        <v>314</v>
      </c>
    </row>
    <row r="45" customFormat="false" ht="36" hidden="false" customHeight="true" outlineLevel="0" collapsed="false">
      <c r="A45" s="38" t="s">
        <v>315</v>
      </c>
      <c r="B45" s="38" t="s">
        <v>316</v>
      </c>
      <c r="C45" s="38" t="s">
        <v>317</v>
      </c>
      <c r="D45" s="38" t="s">
        <v>318</v>
      </c>
      <c r="E45" s="38" t="s">
        <v>319</v>
      </c>
    </row>
    <row r="46" customFormat="false" ht="36" hidden="false" customHeight="true" outlineLevel="0" collapsed="false">
      <c r="A46" s="7" t="s">
        <v>320</v>
      </c>
      <c r="B46" s="18" t="n">
        <v>500</v>
      </c>
      <c r="C46" s="18" t="n">
        <v>1000</v>
      </c>
      <c r="D46" s="18" t="n">
        <v>50</v>
      </c>
    </row>
    <row r="47" customFormat="false" ht="36" hidden="false" customHeight="true" outlineLevel="0" collapsed="false">
      <c r="A47" s="7" t="s">
        <v>321</v>
      </c>
      <c r="B47" s="18" t="n">
        <v>1.5</v>
      </c>
      <c r="C47" s="18" t="n">
        <v>1</v>
      </c>
      <c r="D47" s="18" t="n">
        <v>0.75</v>
      </c>
    </row>
    <row r="48" customFormat="false" ht="36" hidden="false" customHeight="true" outlineLevel="0" collapsed="false">
      <c r="A48" s="7" t="s">
        <v>322</v>
      </c>
      <c r="B48" s="18" t="n">
        <v>0.2</v>
      </c>
      <c r="C48" s="18" t="n">
        <v>0.3</v>
      </c>
      <c r="D48" s="18" t="n">
        <v>0.4</v>
      </c>
    </row>
    <row r="49" customFormat="false" ht="36" hidden="false" customHeight="true" outlineLevel="0" collapsed="false">
      <c r="A49" s="7" t="s">
        <v>323</v>
      </c>
      <c r="B49" s="18" t="n">
        <v>0.1</v>
      </c>
      <c r="C49" s="18" t="n">
        <v>0.116666666666667</v>
      </c>
      <c r="D49" s="18" t="n">
        <v>0.25</v>
      </c>
    </row>
    <row r="50" customFormat="false" ht="36" hidden="false" customHeight="true" outlineLevel="0" collapsed="false">
      <c r="A50" s="7" t="s">
        <v>324</v>
      </c>
      <c r="B50" s="18" t="n">
        <f aca="false">B48*B49</f>
        <v>0.02</v>
      </c>
      <c r="C50" s="18" t="n">
        <f aca="false">C48*C49</f>
        <v>0.035</v>
      </c>
      <c r="D50" s="18" t="n">
        <f aca="false">D48*D49</f>
        <v>0.1</v>
      </c>
    </row>
    <row r="51" customFormat="false" ht="36" hidden="false" customHeight="true" outlineLevel="0" collapsed="false">
      <c r="A51" s="7" t="s">
        <v>325</v>
      </c>
      <c r="B51" s="18" t="n">
        <f aca="false">B46*B50</f>
        <v>10</v>
      </c>
      <c r="C51" s="18" t="n">
        <f aca="false">C46*C50</f>
        <v>35</v>
      </c>
      <c r="D51" s="18" t="n">
        <f aca="false">D46*D50</f>
        <v>5</v>
      </c>
    </row>
    <row r="52" customFormat="false" ht="36" hidden="false" customHeight="true" outlineLevel="0" collapsed="false">
      <c r="A52" s="7" t="s">
        <v>326</v>
      </c>
      <c r="B52" s="18" t="n">
        <f aca="false">B46*B47</f>
        <v>750</v>
      </c>
      <c r="C52" s="18" t="n">
        <f aca="false">C46*C47</f>
        <v>1000</v>
      </c>
      <c r="D52" s="18" t="n">
        <f aca="false">D46*D47</f>
        <v>37.5</v>
      </c>
    </row>
    <row r="53" customFormat="false" ht="36" hidden="false" customHeight="true" outlineLevel="0" collapsed="false">
      <c r="A53" s="7" t="s">
        <v>327</v>
      </c>
      <c r="B53" s="18" t="n">
        <f aca="false">IF(B51=0,0,B52/B51)</f>
        <v>75</v>
      </c>
      <c r="C53" s="18" t="n">
        <f aca="false">IF(C51=0,0,C52/C51)</f>
        <v>28.5714285714286</v>
      </c>
      <c r="D53" s="4" t="n">
        <f aca="false">IF(D51=0,0,D52/D51)</f>
        <v>7.5</v>
      </c>
      <c r="E53" s="4" t="s">
        <v>328</v>
      </c>
    </row>
    <row r="54" customFormat="false" ht="36" hidden="false" customHeight="true" outlineLevel="0" collapsed="false">
      <c r="A54" s="7" t="s">
        <v>329</v>
      </c>
      <c r="B54" s="47" t="n">
        <f aca="false">B9</f>
        <v>11.68632</v>
      </c>
      <c r="C54" s="4" t="s">
        <v>330</v>
      </c>
      <c r="D54" s="4" t="s">
        <v>331</v>
      </c>
      <c r="E54" s="4" t="s">
        <v>332</v>
      </c>
    </row>
    <row r="55" customFormat="false" ht="36" hidden="false" customHeight="true" outlineLevel="0" collapsed="false">
      <c r="A55" s="1" t="s">
        <v>333</v>
      </c>
      <c r="B55" s="18" t="n">
        <f aca="false">B9*0.05</f>
        <v>0.584316</v>
      </c>
      <c r="C55" s="1" t="s">
        <v>334</v>
      </c>
    </row>
    <row r="56" customFormat="false" ht="36" hidden="false" customHeight="true" outlineLevel="0" collapsed="false">
      <c r="A56" s="1" t="s">
        <v>335</v>
      </c>
      <c r="B56" s="18" t="n">
        <f aca="false">D47/B9</f>
        <v>0.0641776025301378</v>
      </c>
      <c r="C56" s="1" t="s">
        <v>336</v>
      </c>
    </row>
    <row r="57" customFormat="false" ht="36" hidden="false" customHeight="true" outlineLevel="0" collapsed="false">
      <c r="D57" s="4" t="s">
        <v>337</v>
      </c>
    </row>
    <row r="58" customFormat="false" ht="36" hidden="false" customHeight="true" outlineLevel="0" collapsed="false">
      <c r="A58" s="1" t="s">
        <v>338</v>
      </c>
    </row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false" showErrorMessage="false" showInputMessage="false" sqref="B7" type="list">
      <formula1>"SMB,Mid,Enterprise"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34"/>
    <col collapsed="false" customWidth="true" hidden="false" outlineLevel="0" max="8" min="5" style="1" width="15"/>
    <col collapsed="false" customWidth="true" hidden="false" outlineLevel="0" max="26" min="9" style="1" width="8.71"/>
  </cols>
  <sheetData>
    <row r="1" customFormat="false" ht="24" hidden="false" customHeight="true" outlineLevel="0" collapsed="false">
      <c r="A1" s="2" t="s">
        <v>339</v>
      </c>
      <c r="B1" s="3"/>
      <c r="C1" s="3"/>
      <c r="D1" s="3"/>
      <c r="E1" s="3"/>
      <c r="F1" s="3"/>
      <c r="G1" s="3"/>
      <c r="H1" s="3"/>
    </row>
    <row r="2" customFormat="false" ht="15" hidden="false" customHeight="false" outlineLevel="0" collapsed="false">
      <c r="A2" s="4" t="s">
        <v>340</v>
      </c>
    </row>
    <row r="4" customFormat="false" ht="15" hidden="false" customHeight="false" outlineLevel="0" collapsed="false">
      <c r="A4" s="12" t="s">
        <v>341</v>
      </c>
      <c r="B4" s="13"/>
      <c r="C4" s="13"/>
      <c r="D4" s="13"/>
      <c r="E4" s="13"/>
      <c r="F4" s="13"/>
      <c r="G4" s="13"/>
      <c r="H4" s="13"/>
    </row>
    <row r="5" customFormat="false" ht="28" hidden="false" customHeight="true" outlineLevel="0" collapsed="false">
      <c r="A5" s="7" t="s">
        <v>342</v>
      </c>
      <c r="B5" s="15" t="s">
        <v>343</v>
      </c>
      <c r="C5" s="16"/>
      <c r="D5" s="16"/>
    </row>
    <row r="6" customFormat="false" ht="42" hidden="false" customHeight="true" outlineLevel="0" collapsed="false">
      <c r="A6" s="7" t="s">
        <v>344</v>
      </c>
      <c r="B6" s="15" t="s">
        <v>345</v>
      </c>
      <c r="C6" s="16"/>
      <c r="D6" s="16"/>
    </row>
    <row r="7" customFormat="false" ht="42" hidden="false" customHeight="true" outlineLevel="0" collapsed="false">
      <c r="A7" s="7" t="s">
        <v>346</v>
      </c>
      <c r="B7" s="15" t="s">
        <v>347</v>
      </c>
      <c r="C7" s="16"/>
      <c r="D7" s="16"/>
    </row>
    <row r="8" customFormat="false" ht="48" hidden="false" customHeight="true" outlineLevel="0" collapsed="false">
      <c r="A8" s="7" t="s">
        <v>348</v>
      </c>
      <c r="B8" s="15" t="s">
        <v>349</v>
      </c>
      <c r="C8" s="16"/>
      <c r="D8" s="17" t="s">
        <v>350</v>
      </c>
    </row>
    <row r="10" customFormat="false" ht="15" hidden="false" customHeight="false" outlineLevel="0" collapsed="false">
      <c r="A10" s="12" t="s">
        <v>351</v>
      </c>
      <c r="B10" s="13"/>
      <c r="C10" s="13"/>
      <c r="D10" s="13"/>
      <c r="E10" s="13"/>
      <c r="F10" s="13"/>
      <c r="G10" s="13"/>
      <c r="H10" s="13"/>
    </row>
    <row r="11" customFormat="false" ht="15" hidden="false" customHeight="false" outlineLevel="0" collapsed="false">
      <c r="A11" s="38"/>
      <c r="B11" s="38" t="s">
        <v>352</v>
      </c>
      <c r="C11" s="38" t="s">
        <v>353</v>
      </c>
      <c r="D11" s="38" t="s">
        <v>354</v>
      </c>
    </row>
    <row r="12" customFormat="false" ht="30" hidden="false" customHeight="true" outlineLevel="0" collapsed="false">
      <c r="A12" s="7" t="s">
        <v>355</v>
      </c>
      <c r="B12" s="15" t="s">
        <v>356</v>
      </c>
      <c r="C12" s="15" t="s">
        <v>357</v>
      </c>
      <c r="D12" s="15" t="s">
        <v>358</v>
      </c>
    </row>
    <row r="13" customFormat="false" ht="42" hidden="false" customHeight="true" outlineLevel="0" collapsed="false">
      <c r="A13" s="7" t="s">
        <v>359</v>
      </c>
      <c r="B13" s="15" t="s">
        <v>360</v>
      </c>
      <c r="C13" s="15" t="s">
        <v>361</v>
      </c>
      <c r="D13" s="15" t="s">
        <v>362</v>
      </c>
    </row>
    <row r="14" customFormat="false" ht="58" hidden="false" customHeight="true" outlineLevel="0" collapsed="false">
      <c r="A14" s="7" t="s">
        <v>363</v>
      </c>
      <c r="B14" s="15" t="s">
        <v>364</v>
      </c>
      <c r="C14" s="15" t="s">
        <v>365</v>
      </c>
      <c r="D14" s="15" t="s">
        <v>366</v>
      </c>
    </row>
    <row r="15" customFormat="false" ht="58" hidden="false" customHeight="true" outlineLevel="0" collapsed="false">
      <c r="A15" s="7" t="s">
        <v>367</v>
      </c>
      <c r="B15" s="15" t="s">
        <v>368</v>
      </c>
      <c r="C15" s="15" t="s">
        <v>369</v>
      </c>
      <c r="D15" s="15" t="s">
        <v>370</v>
      </c>
    </row>
    <row r="16" customFormat="false" ht="58" hidden="false" customHeight="true" outlineLevel="0" collapsed="false">
      <c r="A16" s="7" t="s">
        <v>371</v>
      </c>
      <c r="B16" s="15" t="s">
        <v>372</v>
      </c>
      <c r="C16" s="15" t="s">
        <v>373</v>
      </c>
      <c r="D16" s="15" t="s">
        <v>374</v>
      </c>
    </row>
    <row r="17" customFormat="false" ht="58" hidden="false" customHeight="true" outlineLevel="0" collapsed="false">
      <c r="A17" s="7" t="s">
        <v>375</v>
      </c>
      <c r="B17" s="15" t="s">
        <v>376</v>
      </c>
      <c r="C17" s="15" t="s">
        <v>377</v>
      </c>
      <c r="D17" s="15" t="s">
        <v>378</v>
      </c>
    </row>
    <row r="18" customFormat="false" ht="40" hidden="false" customHeight="true" outlineLevel="0" collapsed="false">
      <c r="A18" s="7" t="s">
        <v>379</v>
      </c>
      <c r="B18" s="15" t="s">
        <v>380</v>
      </c>
      <c r="C18" s="15" t="s">
        <v>381</v>
      </c>
      <c r="D18" s="15" t="s">
        <v>382</v>
      </c>
    </row>
    <row r="19" customFormat="false" ht="15" hidden="false" customHeight="false" outlineLevel="0" collapsed="false">
      <c r="A19" s="4" t="s">
        <v>383</v>
      </c>
    </row>
    <row r="21" customFormat="false" ht="15.75" hidden="false" customHeight="true" outlineLevel="0" collapsed="false">
      <c r="A21" s="12" t="s">
        <v>384</v>
      </c>
      <c r="B21" s="13"/>
      <c r="C21" s="13"/>
      <c r="D21" s="13"/>
      <c r="E21" s="13"/>
      <c r="F21" s="13"/>
      <c r="G21" s="13"/>
      <c r="H21" s="13"/>
    </row>
    <row r="22" customFormat="false" ht="15.75" hidden="false" customHeight="true" outlineLevel="0" collapsed="false">
      <c r="A22" s="38" t="s">
        <v>385</v>
      </c>
      <c r="B22" s="38" t="s">
        <v>386</v>
      </c>
      <c r="C22" s="38" t="s">
        <v>387</v>
      </c>
      <c r="D22" s="38" t="s">
        <v>388</v>
      </c>
    </row>
    <row r="23" customFormat="false" ht="48" hidden="false" customHeight="true" outlineLevel="0" collapsed="false">
      <c r="A23" s="7" t="s">
        <v>389</v>
      </c>
      <c r="B23" s="15" t="s">
        <v>390</v>
      </c>
      <c r="C23" s="15" t="s">
        <v>391</v>
      </c>
      <c r="D23" s="15" t="s">
        <v>392</v>
      </c>
    </row>
    <row r="24" customFormat="false" ht="48" hidden="false" customHeight="true" outlineLevel="0" collapsed="false">
      <c r="A24" s="7" t="s">
        <v>393</v>
      </c>
      <c r="B24" s="15" t="s">
        <v>394</v>
      </c>
      <c r="C24" s="15" t="s">
        <v>395</v>
      </c>
      <c r="D24" s="15" t="s">
        <v>396</v>
      </c>
    </row>
    <row r="25" customFormat="false" ht="48" hidden="false" customHeight="true" outlineLevel="0" collapsed="false">
      <c r="A25" s="7" t="s">
        <v>397</v>
      </c>
      <c r="B25" s="15" t="s">
        <v>398</v>
      </c>
      <c r="C25" s="15" t="s">
        <v>399</v>
      </c>
      <c r="D25" s="15" t="s">
        <v>400</v>
      </c>
    </row>
    <row r="26" customFormat="false" ht="15.75" hidden="false" customHeight="true" outlineLevel="0" collapsed="false">
      <c r="A26" s="4" t="s">
        <v>401</v>
      </c>
    </row>
    <row r="27" customFormat="false" ht="15.75" hidden="false" customHeight="true" outlineLevel="0" collapsed="false"/>
    <row r="28" customFormat="false" ht="15.75" hidden="false" customHeight="true" outlineLevel="0" collapsed="false">
      <c r="A28" s="12" t="s">
        <v>402</v>
      </c>
      <c r="B28" s="13"/>
      <c r="C28" s="13"/>
      <c r="D28" s="13"/>
      <c r="E28" s="13"/>
      <c r="F28" s="13"/>
      <c r="G28" s="13"/>
      <c r="H28" s="13"/>
    </row>
    <row r="29" customFormat="false" ht="15.75" hidden="false" customHeight="true" outlineLevel="0" collapsed="false">
      <c r="A29" s="7" t="s">
        <v>403</v>
      </c>
      <c r="B29" s="6" t="s">
        <v>404</v>
      </c>
    </row>
    <row r="30" customFormat="false" ht="15.75" hidden="false" customHeight="true" outlineLevel="0" collapsed="false">
      <c r="A30" s="7" t="s">
        <v>405</v>
      </c>
      <c r="B30" s="6" t="s">
        <v>404</v>
      </c>
    </row>
    <row r="31" customFormat="false" ht="15.75" hidden="false" customHeight="true" outlineLevel="0" collapsed="false">
      <c r="A31" s="7" t="s">
        <v>406</v>
      </c>
      <c r="B31" s="6" t="s">
        <v>404</v>
      </c>
    </row>
    <row r="32" customFormat="false" ht="15.75" hidden="false" customHeight="true" outlineLevel="0" collapsed="false">
      <c r="A32" s="7" t="s">
        <v>407</v>
      </c>
      <c r="B32" s="6" t="s">
        <v>408</v>
      </c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4" min="4" style="0" width="42"/>
    <col collapsed="false" customWidth="true" hidden="false" outlineLevel="0" max="5" min="5" style="0" width="54"/>
    <col collapsed="false" customWidth="true" hidden="false" outlineLevel="0" max="8" min="6" style="1" width="15"/>
    <col collapsed="false" customWidth="true" hidden="false" outlineLevel="0" max="26" min="9" style="1" width="8.71"/>
  </cols>
  <sheetData>
    <row r="1" customFormat="false" ht="24" hidden="false" customHeight="true" outlineLevel="0" collapsed="false">
      <c r="A1" s="2" t="s">
        <v>409</v>
      </c>
      <c r="B1" s="3"/>
      <c r="C1" s="3"/>
      <c r="D1" s="3"/>
      <c r="E1" s="3"/>
      <c r="F1" s="3"/>
      <c r="G1" s="3"/>
      <c r="H1" s="3"/>
    </row>
    <row r="2" customFormat="false" ht="15" hidden="false" customHeight="false" outlineLevel="0" collapsed="false">
      <c r="A2" s="4" t="s">
        <v>410</v>
      </c>
    </row>
    <row r="3" customFormat="false" ht="15" hidden="false" customHeight="false" outlineLevel="0" collapsed="false">
      <c r="A3" s="7" t="s">
        <v>411</v>
      </c>
      <c r="B3" s="6" t="s">
        <v>412</v>
      </c>
      <c r="D3" s="4" t="s">
        <v>413</v>
      </c>
    </row>
    <row r="5" customFormat="false" ht="15" hidden="false" customHeight="false" outlineLevel="0" collapsed="false">
      <c r="A5" s="48" t="s">
        <v>414</v>
      </c>
      <c r="B5" s="48" t="s">
        <v>415</v>
      </c>
      <c r="C5" s="48" t="s">
        <v>416</v>
      </c>
      <c r="D5" s="48" t="s">
        <v>417</v>
      </c>
      <c r="E5" s="48" t="s">
        <v>418</v>
      </c>
    </row>
    <row r="6" customFormat="false" ht="15" hidden="false" customHeight="false" outlineLevel="0" collapsed="false">
      <c r="A6" s="49" t="s">
        <v>128</v>
      </c>
      <c r="B6" s="49" t="s">
        <v>419</v>
      </c>
      <c r="C6" s="49" t="s">
        <v>420</v>
      </c>
      <c r="D6" s="49" t="s">
        <v>421</v>
      </c>
      <c r="E6" s="50" t="s">
        <v>422</v>
      </c>
    </row>
    <row r="7" customFormat="false" ht="15" hidden="false" customHeight="false" outlineLevel="0" collapsed="false">
      <c r="A7" s="49" t="s">
        <v>128</v>
      </c>
      <c r="B7" s="49" t="s">
        <v>423</v>
      </c>
      <c r="C7" s="49" t="s">
        <v>424</v>
      </c>
      <c r="D7" s="49" t="s">
        <v>421</v>
      </c>
      <c r="E7" s="50" t="s">
        <v>422</v>
      </c>
    </row>
    <row r="8" customFormat="false" ht="15" hidden="false" customHeight="false" outlineLevel="0" collapsed="false">
      <c r="A8" s="49" t="s">
        <v>128</v>
      </c>
      <c r="B8" s="49" t="s">
        <v>425</v>
      </c>
      <c r="C8" s="49" t="s">
        <v>426</v>
      </c>
      <c r="D8" s="49" t="s">
        <v>421</v>
      </c>
      <c r="E8" s="50" t="s">
        <v>427</v>
      </c>
    </row>
    <row r="9" customFormat="false" ht="15" hidden="false" customHeight="false" outlineLevel="0" collapsed="false">
      <c r="A9" s="49" t="s">
        <v>128</v>
      </c>
      <c r="B9" s="49" t="s">
        <v>428</v>
      </c>
      <c r="C9" s="49" t="s">
        <v>429</v>
      </c>
      <c r="D9" s="49" t="s">
        <v>430</v>
      </c>
      <c r="E9" s="50" t="s">
        <v>422</v>
      </c>
    </row>
    <row r="10" customFormat="false" ht="22.35" hidden="false" customHeight="false" outlineLevel="0" collapsed="false">
      <c r="A10" s="49" t="s">
        <v>128</v>
      </c>
      <c r="B10" s="49" t="s">
        <v>431</v>
      </c>
      <c r="C10" s="49" t="s">
        <v>432</v>
      </c>
      <c r="D10" s="49" t="s">
        <v>421</v>
      </c>
      <c r="E10" s="50" t="s">
        <v>433</v>
      </c>
    </row>
    <row r="11" customFormat="false" ht="15" hidden="false" customHeight="false" outlineLevel="0" collapsed="false">
      <c r="A11" s="49" t="s">
        <v>128</v>
      </c>
      <c r="B11" s="49" t="s">
        <v>434</v>
      </c>
      <c r="C11" s="49" t="s">
        <v>435</v>
      </c>
      <c r="D11" s="49" t="s">
        <v>421</v>
      </c>
      <c r="E11" s="50" t="s">
        <v>436</v>
      </c>
    </row>
    <row r="12" customFormat="false" ht="15" hidden="false" customHeight="false" outlineLevel="0" collapsed="false">
      <c r="A12" s="49" t="s">
        <v>128</v>
      </c>
      <c r="B12" s="49" t="s">
        <v>437</v>
      </c>
      <c r="C12" s="49" t="s">
        <v>438</v>
      </c>
      <c r="D12" s="49" t="s">
        <v>430</v>
      </c>
      <c r="E12" s="50" t="s">
        <v>436</v>
      </c>
    </row>
    <row r="13" customFormat="false" ht="15" hidden="false" customHeight="false" outlineLevel="0" collapsed="false">
      <c r="A13" s="49" t="s">
        <v>128</v>
      </c>
      <c r="B13" s="49" t="s">
        <v>439</v>
      </c>
      <c r="C13" s="49" t="s">
        <v>440</v>
      </c>
      <c r="D13" s="49" t="s">
        <v>421</v>
      </c>
      <c r="E13" s="50" t="s">
        <v>441</v>
      </c>
    </row>
    <row r="14" customFormat="false" ht="22.35" hidden="false" customHeight="false" outlineLevel="0" collapsed="false">
      <c r="A14" s="49" t="s">
        <v>128</v>
      </c>
      <c r="B14" s="49" t="s">
        <v>442</v>
      </c>
      <c r="C14" s="49" t="s">
        <v>443</v>
      </c>
      <c r="D14" s="49" t="s">
        <v>421</v>
      </c>
      <c r="E14" s="50" t="s">
        <v>444</v>
      </c>
    </row>
    <row r="15" customFormat="false" ht="15" hidden="false" customHeight="false" outlineLevel="0" collapsed="false">
      <c r="A15" s="49" t="s">
        <v>445</v>
      </c>
      <c r="B15" s="49" t="s">
        <v>446</v>
      </c>
      <c r="C15" s="49" t="s">
        <v>447</v>
      </c>
      <c r="D15" s="49" t="s">
        <v>448</v>
      </c>
      <c r="E15" s="50" t="s">
        <v>449</v>
      </c>
    </row>
    <row r="16" customFormat="false" ht="15" hidden="false" customHeight="false" outlineLevel="0" collapsed="false">
      <c r="A16" s="49" t="s">
        <v>445</v>
      </c>
      <c r="B16" s="49" t="s">
        <v>450</v>
      </c>
      <c r="C16" s="49" t="s">
        <v>451</v>
      </c>
      <c r="D16" s="49" t="s">
        <v>448</v>
      </c>
      <c r="E16" s="50" t="s">
        <v>452</v>
      </c>
    </row>
    <row r="17" customFormat="false" ht="15" hidden="false" customHeight="false" outlineLevel="0" collapsed="false">
      <c r="A17" s="49" t="s">
        <v>445</v>
      </c>
      <c r="B17" s="49" t="s">
        <v>453</v>
      </c>
      <c r="C17" s="49" t="s">
        <v>454</v>
      </c>
      <c r="D17" s="49" t="s">
        <v>448</v>
      </c>
      <c r="E17" s="50" t="s">
        <v>455</v>
      </c>
    </row>
    <row r="18" customFormat="false" ht="15" hidden="false" customHeight="false" outlineLevel="0" collapsed="false">
      <c r="A18" s="49" t="s">
        <v>445</v>
      </c>
      <c r="B18" s="49" t="s">
        <v>456</v>
      </c>
      <c r="C18" s="49" t="s">
        <v>457</v>
      </c>
      <c r="D18" s="49" t="s">
        <v>448</v>
      </c>
      <c r="E18" s="50" t="s">
        <v>436</v>
      </c>
    </row>
    <row r="19" customFormat="false" ht="15" hidden="false" customHeight="false" outlineLevel="0" collapsed="false">
      <c r="A19" s="49" t="s">
        <v>458</v>
      </c>
      <c r="B19" s="49" t="s">
        <v>459</v>
      </c>
      <c r="C19" s="49" t="s">
        <v>460</v>
      </c>
      <c r="D19" s="49" t="s">
        <v>461</v>
      </c>
      <c r="E19" s="50" t="s">
        <v>462</v>
      </c>
    </row>
    <row r="20" customFormat="false" ht="15" hidden="false" customHeight="false" outlineLevel="0" collapsed="false">
      <c r="A20" s="49" t="s">
        <v>458</v>
      </c>
      <c r="B20" s="49" t="s">
        <v>463</v>
      </c>
      <c r="C20" s="49" t="s">
        <v>464</v>
      </c>
      <c r="D20" s="49" t="s">
        <v>461</v>
      </c>
      <c r="E20" s="50" t="s">
        <v>436</v>
      </c>
    </row>
    <row r="21" customFormat="false" ht="15.75" hidden="false" customHeight="true" outlineLevel="0" collapsed="false">
      <c r="A21" s="49" t="s">
        <v>458</v>
      </c>
      <c r="B21" s="49" t="s">
        <v>465</v>
      </c>
      <c r="C21" s="49" t="s">
        <v>466</v>
      </c>
      <c r="D21" s="49" t="s">
        <v>461</v>
      </c>
      <c r="E21" s="50" t="s">
        <v>467</v>
      </c>
    </row>
    <row r="22" customFormat="false" ht="15.75" hidden="false" customHeight="true" outlineLevel="0" collapsed="false">
      <c r="A22" s="49" t="s">
        <v>458</v>
      </c>
      <c r="B22" s="49" t="s">
        <v>468</v>
      </c>
      <c r="C22" s="49" t="s">
        <v>469</v>
      </c>
      <c r="D22" s="49" t="s">
        <v>461</v>
      </c>
      <c r="E22" s="50" t="s">
        <v>467</v>
      </c>
    </row>
    <row r="23" customFormat="false" ht="15.75" hidden="false" customHeight="true" outlineLevel="0" collapsed="false">
      <c r="A23" s="49" t="s">
        <v>470</v>
      </c>
      <c r="B23" s="49" t="s">
        <v>471</v>
      </c>
      <c r="C23" s="49" t="s">
        <v>472</v>
      </c>
      <c r="D23" s="49" t="s">
        <v>473</v>
      </c>
      <c r="E23" s="50" t="s">
        <v>474</v>
      </c>
    </row>
    <row r="24" customFormat="false" ht="15.75" hidden="false" customHeight="true" outlineLevel="0" collapsed="false">
      <c r="A24" s="49" t="s">
        <v>475</v>
      </c>
      <c r="B24" s="49" t="s">
        <v>476</v>
      </c>
      <c r="C24" s="49" t="s">
        <v>477</v>
      </c>
      <c r="D24" s="49" t="s">
        <v>478</v>
      </c>
      <c r="E24" s="50" t="s">
        <v>479</v>
      </c>
    </row>
    <row r="25" customFormat="false" ht="15.75" hidden="false" customHeight="true" outlineLevel="0" collapsed="false">
      <c r="A25" s="49" t="s">
        <v>475</v>
      </c>
      <c r="B25" s="49" t="s">
        <v>480</v>
      </c>
      <c r="C25" s="49" t="s">
        <v>481</v>
      </c>
      <c r="D25" s="49" t="s">
        <v>478</v>
      </c>
      <c r="E25" s="50" t="s">
        <v>482</v>
      </c>
    </row>
    <row r="26" customFormat="false" ht="15.75" hidden="false" customHeight="true" outlineLevel="0" collapsed="false">
      <c r="A26" s="49" t="s">
        <v>475</v>
      </c>
      <c r="B26" s="49" t="s">
        <v>483</v>
      </c>
      <c r="C26" s="49" t="s">
        <v>484</v>
      </c>
      <c r="D26" s="49" t="s">
        <v>430</v>
      </c>
      <c r="E26" s="50" t="s">
        <v>485</v>
      </c>
    </row>
    <row r="27" customFormat="false" ht="15.75" hidden="false" customHeight="true" outlineLevel="0" collapsed="false">
      <c r="A27" s="49" t="s">
        <v>486</v>
      </c>
      <c r="B27" s="49" t="s">
        <v>487</v>
      </c>
      <c r="C27" s="49" t="s">
        <v>488</v>
      </c>
      <c r="D27" s="49" t="s">
        <v>489</v>
      </c>
      <c r="E27" s="50" t="s">
        <v>490</v>
      </c>
    </row>
    <row r="28" customFormat="false" ht="15.75" hidden="false" customHeight="true" outlineLevel="0" collapsed="false">
      <c r="A28" s="49" t="s">
        <v>486</v>
      </c>
      <c r="B28" s="49" t="s">
        <v>491</v>
      </c>
      <c r="C28" s="49" t="s">
        <v>492</v>
      </c>
      <c r="D28" s="49" t="s">
        <v>489</v>
      </c>
      <c r="E28" s="50" t="s">
        <v>490</v>
      </c>
    </row>
    <row r="29" customFormat="false" ht="15.75" hidden="false" customHeight="true" outlineLevel="0" collapsed="false">
      <c r="A29" s="49" t="s">
        <v>486</v>
      </c>
      <c r="B29" s="49" t="s">
        <v>493</v>
      </c>
      <c r="C29" s="49" t="s">
        <v>494</v>
      </c>
      <c r="D29" s="49" t="s">
        <v>495</v>
      </c>
      <c r="E29" s="50" t="s">
        <v>496</v>
      </c>
    </row>
    <row r="30" customFormat="false" ht="15.75" hidden="false" customHeight="true" outlineLevel="0" collapsed="false">
      <c r="A30" s="49" t="s">
        <v>486</v>
      </c>
      <c r="B30" s="49" t="s">
        <v>497</v>
      </c>
      <c r="C30" s="49" t="s">
        <v>498</v>
      </c>
      <c r="D30" s="49" t="s">
        <v>499</v>
      </c>
      <c r="E30" s="50" t="s">
        <v>500</v>
      </c>
    </row>
    <row r="31" customFormat="false" ht="15.75" hidden="false" customHeight="true" outlineLevel="0" collapsed="false">
      <c r="A31" s="49" t="s">
        <v>486</v>
      </c>
      <c r="B31" s="49" t="s">
        <v>501</v>
      </c>
      <c r="C31" s="49" t="s">
        <v>502</v>
      </c>
      <c r="D31" s="49" t="s">
        <v>503</v>
      </c>
      <c r="E31" s="50" t="s">
        <v>500</v>
      </c>
    </row>
    <row r="32" customFormat="false" ht="15.75" hidden="false" customHeight="true" outlineLevel="0" collapsed="false">
      <c r="A32" s="49" t="s">
        <v>486</v>
      </c>
      <c r="B32" s="49" t="s">
        <v>504</v>
      </c>
      <c r="C32" s="49" t="s">
        <v>505</v>
      </c>
      <c r="D32" s="49" t="s">
        <v>499</v>
      </c>
      <c r="E32" s="50" t="s">
        <v>506</v>
      </c>
    </row>
    <row r="33" customFormat="false" ht="15.75" hidden="false" customHeight="true" outlineLevel="0" collapsed="false">
      <c r="A33" s="49" t="s">
        <v>486</v>
      </c>
      <c r="B33" s="49" t="s">
        <v>507</v>
      </c>
      <c r="C33" s="49" t="s">
        <v>508</v>
      </c>
      <c r="D33" s="49" t="s">
        <v>509</v>
      </c>
      <c r="E33" s="50" t="s">
        <v>506</v>
      </c>
    </row>
    <row r="34" customFormat="false" ht="15.75" hidden="false" customHeight="true" outlineLevel="0" collapsed="false">
      <c r="A34" s="49" t="s">
        <v>486</v>
      </c>
      <c r="B34" s="49" t="s">
        <v>510</v>
      </c>
      <c r="C34" s="49" t="s">
        <v>511</v>
      </c>
      <c r="D34" s="49" t="s">
        <v>512</v>
      </c>
      <c r="E34" s="50" t="s">
        <v>513</v>
      </c>
    </row>
    <row r="35" customFormat="false" ht="15.75" hidden="false" customHeight="true" outlineLevel="0" collapsed="false">
      <c r="A35" s="49" t="s">
        <v>514</v>
      </c>
      <c r="B35" s="49" t="s">
        <v>515</v>
      </c>
      <c r="C35" s="49" t="s">
        <v>516</v>
      </c>
      <c r="D35" s="49" t="s">
        <v>161</v>
      </c>
      <c r="E35" s="50" t="s">
        <v>517</v>
      </c>
    </row>
    <row r="36" customFormat="false" ht="15.75" hidden="false" customHeight="true" outlineLevel="0" collapsed="false">
      <c r="A36" s="49" t="s">
        <v>514</v>
      </c>
      <c r="B36" s="49" t="s">
        <v>518</v>
      </c>
      <c r="C36" s="49" t="s">
        <v>519</v>
      </c>
      <c r="D36" s="49" t="s">
        <v>161</v>
      </c>
      <c r="E36" s="50" t="s">
        <v>520</v>
      </c>
    </row>
    <row r="37" customFormat="false" ht="15.75" hidden="false" customHeight="true" outlineLevel="0" collapsed="false">
      <c r="A37" s="49" t="s">
        <v>514</v>
      </c>
      <c r="B37" s="49" t="s">
        <v>521</v>
      </c>
      <c r="C37" s="49" t="s">
        <v>522</v>
      </c>
      <c r="D37" s="49" t="s">
        <v>161</v>
      </c>
      <c r="E37" s="50" t="s">
        <v>523</v>
      </c>
    </row>
    <row r="38" customFormat="false" ht="15.75" hidden="false" customHeight="true" outlineLevel="0" collapsed="false">
      <c r="A38" s="49" t="s">
        <v>514</v>
      </c>
      <c r="B38" s="49" t="s">
        <v>524</v>
      </c>
      <c r="C38" s="49" t="s">
        <v>525</v>
      </c>
      <c r="D38" s="49" t="s">
        <v>261</v>
      </c>
      <c r="E38" s="50" t="s">
        <v>520</v>
      </c>
    </row>
    <row r="39" customFormat="false" ht="15.75" hidden="false" customHeight="true" outlineLevel="0" collapsed="false">
      <c r="A39" s="49" t="s">
        <v>514</v>
      </c>
      <c r="B39" s="49" t="s">
        <v>526</v>
      </c>
      <c r="C39" s="49" t="s">
        <v>527</v>
      </c>
      <c r="D39" s="49" t="s">
        <v>528</v>
      </c>
      <c r="E39" s="50" t="s">
        <v>529</v>
      </c>
    </row>
    <row r="40" customFormat="false" ht="15.75" hidden="false" customHeight="true" outlineLevel="0" collapsed="false">
      <c r="A40" s="49" t="s">
        <v>514</v>
      </c>
      <c r="B40" s="49" t="s">
        <v>530</v>
      </c>
      <c r="C40" s="49" t="s">
        <v>531</v>
      </c>
      <c r="D40" s="49" t="s">
        <v>532</v>
      </c>
      <c r="E40" s="50" t="s">
        <v>533</v>
      </c>
    </row>
    <row r="41" customFormat="false" ht="15.75" hidden="false" customHeight="true" outlineLevel="0" collapsed="false">
      <c r="A41" s="49" t="s">
        <v>514</v>
      </c>
      <c r="B41" s="49" t="s">
        <v>534</v>
      </c>
      <c r="C41" s="49" t="s">
        <v>535</v>
      </c>
      <c r="D41" s="49" t="s">
        <v>536</v>
      </c>
      <c r="E41" s="50" t="s">
        <v>537</v>
      </c>
    </row>
    <row r="42" customFormat="false" ht="15.75" hidden="false" customHeight="true" outlineLevel="0" collapsed="false"/>
    <row r="43" customFormat="false" ht="15.75" hidden="false" customHeight="true" outlineLevel="0" collapsed="false">
      <c r="A43" s="4" t="s">
        <v>538</v>
      </c>
    </row>
    <row r="44" customFormat="false" ht="15.75" hidden="false" customHeight="true" outlineLevel="0" collapsed="false"/>
    <row r="45" customFormat="false" ht="15.75" hidden="false" customHeight="true" outlineLevel="0" collapsed="false">
      <c r="A45" s="12" t="s">
        <v>539</v>
      </c>
    </row>
    <row r="46" customFormat="false" ht="15.75" hidden="false" customHeight="true" outlineLevel="0" collapsed="false">
      <c r="A46" s="38" t="s">
        <v>540</v>
      </c>
      <c r="B46" s="38" t="s">
        <v>541</v>
      </c>
      <c r="C46" s="38" t="s">
        <v>542</v>
      </c>
      <c r="D46" s="38" t="s">
        <v>543</v>
      </c>
      <c r="E46" s="38" t="s">
        <v>544</v>
      </c>
    </row>
    <row r="47" customFormat="false" ht="15.75" hidden="false" customHeight="true" outlineLevel="0" collapsed="false">
      <c r="A47" s="51" t="s">
        <v>545</v>
      </c>
      <c r="B47" s="51" t="s">
        <v>546</v>
      </c>
      <c r="C47" s="51" t="s">
        <v>547</v>
      </c>
      <c r="D47" s="51" t="s">
        <v>548</v>
      </c>
      <c r="E47" s="51" t="s">
        <v>549</v>
      </c>
    </row>
    <row r="48" customFormat="false" ht="15.75" hidden="false" customHeight="true" outlineLevel="0" collapsed="false">
      <c r="A48" s="51" t="s">
        <v>550</v>
      </c>
      <c r="B48" s="51" t="s">
        <v>551</v>
      </c>
      <c r="C48" s="51" t="s">
        <v>552</v>
      </c>
      <c r="D48" s="51" t="s">
        <v>553</v>
      </c>
      <c r="E48" s="51" t="s">
        <v>238</v>
      </c>
    </row>
    <row r="49" customFormat="false" ht="15.75" hidden="false" customHeight="true" outlineLevel="0" collapsed="false">
      <c r="A49" s="51" t="s">
        <v>554</v>
      </c>
      <c r="B49" s="51" t="s">
        <v>555</v>
      </c>
      <c r="C49" s="51" t="s">
        <v>556</v>
      </c>
      <c r="D49" s="51" t="s">
        <v>557</v>
      </c>
      <c r="E49" s="51" t="s">
        <v>241</v>
      </c>
    </row>
    <row r="50" customFormat="false" ht="15.75" hidden="false" customHeight="true" outlineLevel="0" collapsed="false">
      <c r="A50" s="51" t="s">
        <v>558</v>
      </c>
      <c r="B50" s="51" t="s">
        <v>559</v>
      </c>
      <c r="C50" s="51" t="s">
        <v>560</v>
      </c>
      <c r="D50" s="51" t="s">
        <v>561</v>
      </c>
      <c r="E50" s="51" t="s">
        <v>562</v>
      </c>
    </row>
    <row r="51" customFormat="false" ht="15.75" hidden="false" customHeight="true" outlineLevel="0" collapsed="false"/>
    <row r="52" customFormat="false" ht="15.75" hidden="false" customHeight="true" outlineLevel="0" collapsed="false">
      <c r="A52" s="1" t="s">
        <v>563</v>
      </c>
    </row>
    <row r="53" customFormat="false" ht="15.75" hidden="false" customHeight="true" outlineLevel="0" collapsed="false">
      <c r="A53" s="1" t="s">
        <v>564</v>
      </c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